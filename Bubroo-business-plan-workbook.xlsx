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ROG\Downloads\"/>
    </mc:Choice>
  </mc:AlternateContent>
  <xr:revisionPtr revIDLastSave="0" documentId="13_ncr:1_{47B28372-2806-4D20-A1B4-79474C403945}" xr6:coauthVersionLast="47" xr6:coauthVersionMax="47" xr10:uidLastSave="{00000000-0000-0000-0000-000000000000}"/>
  <bookViews>
    <workbookView xWindow="-96" yWindow="-96" windowWidth="23232" windowHeight="12432" tabRatio="1000" xr2:uid="{00000000-000D-0000-FFFF-FFFF00000000}"/>
  </bookViews>
  <sheets>
    <sheet name="HRRampUp" sheetId="23" r:id="rId1"/>
    <sheet name="CostExpense" sheetId="29" r:id="rId2"/>
    <sheet name="SalesForecast" sheetId="31" r:id="rId3"/>
    <sheet name="Cashflow5yr" sheetId="33" r:id="rId4"/>
    <sheet name="UserBenchmarking_Raw" sheetId="22" r:id="rId5"/>
    <sheet name="UserBenchmarkingQuater_Raw" sheetId="32" r:id="rId6"/>
    <sheet name="DigitalMarketingCost_Raw" sheetId="28" r:id="rId7"/>
    <sheet name="DevCost_Raw" sheetId="30" r:id="rId8"/>
    <sheet name="PayrollCost_Raw" sheetId="25" r:id="rId9"/>
    <sheet name="PayrollBreakdown_Raw" sheetId="24" r:id="rId10"/>
  </sheets>
  <definedNames>
    <definedName name="valuevx">42.314159</definedName>
    <definedName name="vertex42_copyright" hidden="1">"© 2016 Vertex42 LLC"</definedName>
    <definedName name="vertex42_id" hidden="1">"business-plan-workbook.xlsx"</definedName>
    <definedName name="vertex42_title" hidden="1">"Business Plan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31" l="1"/>
  <c r="H8" i="31"/>
  <c r="H15" i="31" s="1"/>
  <c r="I8" i="31"/>
  <c r="I15" i="31" s="1"/>
  <c r="J8" i="31"/>
  <c r="K8" i="31"/>
  <c r="L8" i="31"/>
  <c r="M8" i="31"/>
  <c r="N8" i="31"/>
  <c r="O8" i="31"/>
  <c r="P8" i="31"/>
  <c r="Q8" i="31"/>
  <c r="R8" i="31"/>
  <c r="S8" i="31"/>
  <c r="T8" i="31"/>
  <c r="U8" i="31"/>
  <c r="V8" i="31"/>
  <c r="F8" i="31"/>
  <c r="F4" i="31"/>
  <c r="F13" i="31"/>
  <c r="G15" i="31"/>
  <c r="S2" i="23"/>
  <c r="S2" i="31" s="1"/>
  <c r="O2" i="23"/>
  <c r="O2" i="31" s="1"/>
  <c r="K2" i="23"/>
  <c r="K2" i="31" s="1"/>
  <c r="G2" i="23"/>
  <c r="G2" i="31" s="1"/>
  <c r="C2" i="23"/>
  <c r="C2" i="31" s="1"/>
  <c r="B10" i="31"/>
  <c r="C2" i="29" l="1"/>
  <c r="G2" i="29"/>
  <c r="K2" i="29"/>
  <c r="O2" i="29"/>
  <c r="S2" i="29"/>
  <c r="B2" i="30"/>
  <c r="D17" i="29"/>
  <c r="E3" i="33" l="1"/>
  <c r="E24" i="31" l="1"/>
  <c r="E23" i="31"/>
  <c r="E21" i="31"/>
  <c r="F9" i="31"/>
  <c r="G9" i="31"/>
  <c r="H9" i="31"/>
  <c r="J9" i="31"/>
  <c r="K9" i="31"/>
  <c r="L9" i="31"/>
  <c r="N9" i="31"/>
  <c r="O9" i="31"/>
  <c r="P9" i="31"/>
  <c r="R9" i="31"/>
  <c r="R10" i="31" s="1"/>
  <c r="S9" i="31"/>
  <c r="T9" i="31"/>
  <c r="V9" i="31"/>
  <c r="C9" i="31"/>
  <c r="G4" i="31"/>
  <c r="G13" i="31" s="1"/>
  <c r="H4" i="31"/>
  <c r="H13" i="31" s="1"/>
  <c r="J4" i="31"/>
  <c r="J13" i="31" s="1"/>
  <c r="K4" i="31"/>
  <c r="K13" i="31" s="1"/>
  <c r="L4" i="31"/>
  <c r="L13" i="31" s="1"/>
  <c r="N4" i="31"/>
  <c r="N6" i="31" s="1"/>
  <c r="O4" i="31"/>
  <c r="O6" i="31" s="1"/>
  <c r="P4" i="31"/>
  <c r="P11" i="31" s="1"/>
  <c r="R4" i="31"/>
  <c r="R13" i="31" s="1"/>
  <c r="S4" i="31"/>
  <c r="S13" i="31" s="1"/>
  <c r="T4" i="31"/>
  <c r="T13" i="31" s="1"/>
  <c r="V4" i="31"/>
  <c r="V13" i="31" s="1"/>
  <c r="F11" i="31"/>
  <c r="C4" i="32"/>
  <c r="D9" i="31" s="1"/>
  <c r="D4" i="32"/>
  <c r="E9" i="31" s="1"/>
  <c r="B4" i="32"/>
  <c r="E4" i="32"/>
  <c r="D4" i="31"/>
  <c r="D6" i="31" s="1"/>
  <c r="B3" i="32"/>
  <c r="C4" i="31" s="1"/>
  <c r="C13" i="31" s="1"/>
  <c r="C3" i="32"/>
  <c r="D3" i="32"/>
  <c r="E4" i="31" s="1"/>
  <c r="E13" i="31" s="1"/>
  <c r="H3" i="32"/>
  <c r="I4" i="31" s="1"/>
  <c r="I13" i="31" s="1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B2" i="32"/>
  <c r="R1" i="32"/>
  <c r="N1" i="32"/>
  <c r="J1" i="32"/>
  <c r="F1" i="32"/>
  <c r="B1" i="32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B13" i="31"/>
  <c r="B12" i="31"/>
  <c r="B11" i="31"/>
  <c r="B7" i="31"/>
  <c r="B6" i="31"/>
  <c r="B5" i="31"/>
  <c r="S10" i="31" l="1"/>
  <c r="T6" i="31"/>
  <c r="F10" i="31"/>
  <c r="P10" i="31"/>
  <c r="O10" i="31"/>
  <c r="N10" i="31"/>
  <c r="D10" i="31"/>
  <c r="V10" i="31"/>
  <c r="J10" i="31"/>
  <c r="H5" i="31"/>
  <c r="H7" i="31" s="1"/>
  <c r="G10" i="31"/>
  <c r="P6" i="31"/>
  <c r="L10" i="31"/>
  <c r="H6" i="31"/>
  <c r="C10" i="31"/>
  <c r="K10" i="31"/>
  <c r="E10" i="31"/>
  <c r="N11" i="31"/>
  <c r="V12" i="31"/>
  <c r="L6" i="31"/>
  <c r="K12" i="31"/>
  <c r="T10" i="31"/>
  <c r="H10" i="31"/>
  <c r="K6" i="31"/>
  <c r="J12" i="31"/>
  <c r="D12" i="31"/>
  <c r="J6" i="31"/>
  <c r="R11" i="31"/>
  <c r="I12" i="31"/>
  <c r="I6" i="31"/>
  <c r="C6" i="31"/>
  <c r="C8" i="31" s="1"/>
  <c r="L11" i="31"/>
  <c r="D5" i="31"/>
  <c r="D7" i="31" s="1"/>
  <c r="D8" i="31" s="1"/>
  <c r="E11" i="31"/>
  <c r="V6" i="31"/>
  <c r="D11" i="31"/>
  <c r="O5" i="31"/>
  <c r="O7" i="31" s="1"/>
  <c r="O12" i="31"/>
  <c r="L5" i="31"/>
  <c r="L7" i="31" s="1"/>
  <c r="O11" i="31"/>
  <c r="E12" i="31"/>
  <c r="L12" i="31"/>
  <c r="P13" i="31"/>
  <c r="D13" i="31"/>
  <c r="O13" i="31"/>
  <c r="K11" i="31"/>
  <c r="T12" i="31"/>
  <c r="H12" i="31"/>
  <c r="C11" i="31"/>
  <c r="N13" i="31"/>
  <c r="V11" i="31"/>
  <c r="J11" i="31"/>
  <c r="S12" i="31"/>
  <c r="G12" i="31"/>
  <c r="C12" i="31"/>
  <c r="S6" i="31"/>
  <c r="G6" i="31"/>
  <c r="I11" i="31"/>
  <c r="R12" i="31"/>
  <c r="T5" i="31"/>
  <c r="T7" i="31" s="1"/>
  <c r="R6" i="31"/>
  <c r="E6" i="31"/>
  <c r="T11" i="31"/>
  <c r="H11" i="31"/>
  <c r="E5" i="31"/>
  <c r="E7" i="31" s="1"/>
  <c r="P5" i="31"/>
  <c r="P7" i="31" s="1"/>
  <c r="S11" i="31"/>
  <c r="G11" i="31"/>
  <c r="P12" i="31"/>
  <c r="N5" i="31"/>
  <c r="N7" i="31" s="1"/>
  <c r="N12" i="31"/>
  <c r="F12" i="31"/>
  <c r="F14" i="31" s="1"/>
  <c r="C5" i="31"/>
  <c r="C7" i="31" s="1"/>
  <c r="K5" i="31"/>
  <c r="K7" i="31" s="1"/>
  <c r="V5" i="31"/>
  <c r="V7" i="31" s="1"/>
  <c r="J5" i="31"/>
  <c r="J7" i="31" s="1"/>
  <c r="I5" i="31"/>
  <c r="I7" i="31" s="1"/>
  <c r="S5" i="31"/>
  <c r="S7" i="31" s="1"/>
  <c r="G5" i="31"/>
  <c r="G7" i="31" s="1"/>
  <c r="R5" i="31"/>
  <c r="R7" i="31" s="1"/>
  <c r="F5" i="31"/>
  <c r="F6" i="31"/>
  <c r="R6" i="29"/>
  <c r="I3" i="29"/>
  <c r="F7" i="31" l="1"/>
  <c r="F15" i="31" s="1"/>
  <c r="R14" i="31"/>
  <c r="P14" i="31"/>
  <c r="S14" i="31"/>
  <c r="C14" i="31"/>
  <c r="T14" i="31"/>
  <c r="O14" i="31"/>
  <c r="N14" i="31"/>
  <c r="V14" i="31"/>
  <c r="J14" i="31"/>
  <c r="P15" i="31"/>
  <c r="E16" i="33" s="1"/>
  <c r="E14" i="31"/>
  <c r="I14" i="31"/>
  <c r="K14" i="31"/>
  <c r="L14" i="31"/>
  <c r="E8" i="31"/>
  <c r="D14" i="31"/>
  <c r="H14" i="31"/>
  <c r="G14" i="31"/>
  <c r="S17" i="29"/>
  <c r="O17" i="29"/>
  <c r="K17" i="29"/>
  <c r="G17" i="29"/>
  <c r="C2" i="30"/>
  <c r="S15" i="31" l="1"/>
  <c r="E19" i="33" s="1"/>
  <c r="R15" i="31"/>
  <c r="E18" i="33" s="1"/>
  <c r="E6" i="33"/>
  <c r="V15" i="31"/>
  <c r="E22" i="33" s="1"/>
  <c r="T15" i="31"/>
  <c r="E20" i="33" s="1"/>
  <c r="N15" i="31"/>
  <c r="E14" i="33" s="1"/>
  <c r="O15" i="31"/>
  <c r="E15" i="33" s="1"/>
  <c r="E15" i="31"/>
  <c r="E5" i="33" s="1"/>
  <c r="D15" i="31"/>
  <c r="E4" i="33" s="1"/>
  <c r="E7" i="33"/>
  <c r="E8" i="33"/>
  <c r="J15" i="31" l="1"/>
  <c r="E10" i="33" s="1"/>
  <c r="K15" i="31" l="1"/>
  <c r="E11" i="33" s="1"/>
  <c r="L15" i="31"/>
  <c r="E12" i="33" s="1"/>
  <c r="E16" i="29"/>
  <c r="F16" i="29"/>
  <c r="G16" i="29"/>
  <c r="H16" i="29"/>
  <c r="I16" i="29"/>
  <c r="J16" i="29"/>
  <c r="K16" i="29"/>
  <c r="L16" i="29"/>
  <c r="M16" i="29"/>
  <c r="N16" i="29"/>
  <c r="O16" i="29"/>
  <c r="P16" i="29"/>
  <c r="Q16" i="29"/>
  <c r="R16" i="29"/>
  <c r="S16" i="29"/>
  <c r="T16" i="29"/>
  <c r="U16" i="29"/>
  <c r="V16" i="29"/>
  <c r="D16" i="29"/>
  <c r="C16" i="29"/>
  <c r="P14" i="29"/>
  <c r="Q14" i="29"/>
  <c r="R14" i="29"/>
  <c r="S14" i="29"/>
  <c r="T14" i="29"/>
  <c r="U14" i="29"/>
  <c r="V14" i="29"/>
  <c r="O14" i="29"/>
  <c r="D14" i="29"/>
  <c r="E14" i="29"/>
  <c r="F14" i="29"/>
  <c r="G14" i="29"/>
  <c r="H14" i="29"/>
  <c r="I14" i="29"/>
  <c r="J14" i="29"/>
  <c r="K14" i="29"/>
  <c r="L14" i="29"/>
  <c r="M14" i="29"/>
  <c r="N14" i="29"/>
  <c r="C14" i="29"/>
  <c r="T11" i="29"/>
  <c r="U11" i="29"/>
  <c r="V11" i="29"/>
  <c r="S11" i="29"/>
  <c r="P11" i="29"/>
  <c r="Q11" i="29"/>
  <c r="R11" i="29"/>
  <c r="O11" i="29"/>
  <c r="L11" i="29"/>
  <c r="M11" i="29"/>
  <c r="N11" i="29"/>
  <c r="K11" i="29"/>
  <c r="D11" i="29"/>
  <c r="E11" i="29"/>
  <c r="F11" i="29"/>
  <c r="G11" i="29"/>
  <c r="H11" i="29"/>
  <c r="I11" i="29"/>
  <c r="J11" i="29"/>
  <c r="C11" i="29"/>
  <c r="P10" i="29"/>
  <c r="Q10" i="29"/>
  <c r="R10" i="29"/>
  <c r="S10" i="29"/>
  <c r="T10" i="29"/>
  <c r="U10" i="29"/>
  <c r="V10" i="29"/>
  <c r="O10" i="29"/>
  <c r="P8" i="29"/>
  <c r="Q8" i="29"/>
  <c r="R8" i="29"/>
  <c r="S8" i="29"/>
  <c r="T8" i="29"/>
  <c r="U8" i="29"/>
  <c r="V8" i="29"/>
  <c r="O8" i="29"/>
  <c r="D8" i="29"/>
  <c r="E8" i="29"/>
  <c r="F8" i="29"/>
  <c r="G8" i="29"/>
  <c r="H8" i="29"/>
  <c r="I8" i="29"/>
  <c r="J8" i="29"/>
  <c r="K8" i="29"/>
  <c r="L8" i="29"/>
  <c r="M8" i="29"/>
  <c r="N8" i="29"/>
  <c r="C8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T7" i="29"/>
  <c r="U7" i="29"/>
  <c r="V7" i="29"/>
  <c r="C7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S6" i="29"/>
  <c r="T6" i="29"/>
  <c r="U6" i="29"/>
  <c r="V6" i="29"/>
  <c r="C6" i="29"/>
  <c r="D5" i="29"/>
  <c r="E5" i="29"/>
  <c r="F5" i="29"/>
  <c r="G5" i="29"/>
  <c r="H5" i="29"/>
  <c r="I5" i="29"/>
  <c r="J5" i="29"/>
  <c r="K5" i="29"/>
  <c r="L5" i="29"/>
  <c r="M5" i="29"/>
  <c r="N5" i="29"/>
  <c r="O5" i="29"/>
  <c r="P5" i="29"/>
  <c r="Q5" i="29"/>
  <c r="R5" i="29"/>
  <c r="S5" i="29"/>
  <c r="T5" i="29"/>
  <c r="U5" i="29"/>
  <c r="V5" i="29"/>
  <c r="C5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H3" i="29"/>
  <c r="G3" i="29"/>
  <c r="F3" i="29"/>
  <c r="E3" i="29"/>
  <c r="D3" i="29"/>
  <c r="C3" i="29"/>
  <c r="B2" i="28"/>
  <c r="F18" i="29" s="1"/>
  <c r="C2" i="28" l="1"/>
  <c r="D2" i="28" s="1"/>
  <c r="J18" i="29" l="1"/>
  <c r="E2" i="28"/>
  <c r="N18" i="29"/>
  <c r="D18" i="25"/>
  <c r="K18" i="25"/>
  <c r="M18" i="25"/>
  <c r="P18" i="25"/>
  <c r="D17" i="25"/>
  <c r="F17" i="25"/>
  <c r="I17" i="25"/>
  <c r="P17" i="25"/>
  <c r="R17" i="25"/>
  <c r="U17" i="25"/>
  <c r="I16" i="25"/>
  <c r="K16" i="25"/>
  <c r="N16" i="25"/>
  <c r="U16" i="25"/>
  <c r="D15" i="25"/>
  <c r="G15" i="25"/>
  <c r="N15" i="25"/>
  <c r="P15" i="25"/>
  <c r="S15" i="25"/>
  <c r="G14" i="25"/>
  <c r="I14" i="25"/>
  <c r="L14" i="25"/>
  <c r="S14" i="25"/>
  <c r="U14" i="25"/>
  <c r="B17" i="25"/>
  <c r="C11" i="25"/>
  <c r="J11" i="25"/>
  <c r="L11" i="25"/>
  <c r="O11" i="25"/>
  <c r="D9" i="25"/>
  <c r="G9" i="25"/>
  <c r="N9" i="25"/>
  <c r="P9" i="25"/>
  <c r="S9" i="25"/>
  <c r="C12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B12" i="25"/>
  <c r="L10" i="25"/>
  <c r="B9" i="25"/>
  <c r="D8" i="25"/>
  <c r="G8" i="25"/>
  <c r="N8" i="25"/>
  <c r="P8" i="25"/>
  <c r="S8" i="25"/>
  <c r="F7" i="25"/>
  <c r="H7" i="25"/>
  <c r="K7" i="25"/>
  <c r="R7" i="25"/>
  <c r="T7" i="25"/>
  <c r="C6" i="25"/>
  <c r="J6" i="25"/>
  <c r="L6" i="25"/>
  <c r="O6" i="25"/>
  <c r="B6" i="25"/>
  <c r="E5" i="25"/>
  <c r="I5" i="25"/>
  <c r="B5" i="25"/>
  <c r="D4" i="25"/>
  <c r="G4" i="25"/>
  <c r="N4" i="25"/>
  <c r="P4" i="25"/>
  <c r="S4" i="25"/>
  <c r="F3" i="25"/>
  <c r="H3" i="25"/>
  <c r="K3" i="25"/>
  <c r="R3" i="25"/>
  <c r="T3" i="25"/>
  <c r="A21" i="25"/>
  <c r="D15" i="24"/>
  <c r="H9" i="25" s="1"/>
  <c r="D16" i="24"/>
  <c r="D17" i="24"/>
  <c r="C16" i="25" s="1"/>
  <c r="D18" i="24"/>
  <c r="J17" i="25" s="1"/>
  <c r="D19" i="24"/>
  <c r="E18" i="25" s="1"/>
  <c r="D20" i="24"/>
  <c r="T2" i="25"/>
  <c r="U2" i="25"/>
  <c r="C2" i="25"/>
  <c r="D2" i="25"/>
  <c r="E2" i="25"/>
  <c r="F2" i="25"/>
  <c r="G2" i="25"/>
  <c r="H2" i="25"/>
  <c r="I2" i="25"/>
  <c r="J2" i="25"/>
  <c r="K2" i="25"/>
  <c r="L2" i="25"/>
  <c r="M2" i="25"/>
  <c r="N2" i="25"/>
  <c r="O2" i="25"/>
  <c r="P2" i="25"/>
  <c r="Q2" i="25"/>
  <c r="R2" i="25"/>
  <c r="S2" i="25"/>
  <c r="B2" i="25"/>
  <c r="R1" i="25"/>
  <c r="F1" i="25"/>
  <c r="J1" i="25"/>
  <c r="N1" i="25"/>
  <c r="B1" i="25"/>
  <c r="A4" i="25"/>
  <c r="A5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3" i="25"/>
  <c r="D4" i="24"/>
  <c r="H4" i="25" s="1"/>
  <c r="D5" i="24"/>
  <c r="K5" i="25" s="1"/>
  <c r="D6" i="24"/>
  <c r="D6" i="25" s="1"/>
  <c r="D7" i="24"/>
  <c r="L7" i="25" s="1"/>
  <c r="D8" i="24"/>
  <c r="H8" i="25" s="1"/>
  <c r="D9" i="24"/>
  <c r="D10" i="25" s="1"/>
  <c r="D10" i="24"/>
  <c r="D11" i="25" s="1"/>
  <c r="D11" i="24"/>
  <c r="L13" i="25" s="1"/>
  <c r="D12" i="24"/>
  <c r="H15" i="25" s="1"/>
  <c r="D13" i="24"/>
  <c r="M14" i="25" s="1"/>
  <c r="D14" i="24"/>
  <c r="L20" i="25" s="1"/>
  <c r="D3" i="24"/>
  <c r="L3" i="25" s="1"/>
  <c r="D23" i="23"/>
  <c r="E23" i="23"/>
  <c r="F23" i="23"/>
  <c r="G23" i="23"/>
  <c r="H23" i="23"/>
  <c r="I23" i="23"/>
  <c r="J23" i="23"/>
  <c r="K23" i="23"/>
  <c r="L23" i="23"/>
  <c r="M23" i="23"/>
  <c r="N23" i="23"/>
  <c r="O23" i="23"/>
  <c r="P23" i="23"/>
  <c r="Q23" i="23"/>
  <c r="R23" i="23"/>
  <c r="S23" i="23"/>
  <c r="T23" i="23"/>
  <c r="U23" i="23"/>
  <c r="V23" i="23"/>
  <c r="C23" i="23"/>
  <c r="C10" i="25" l="1"/>
  <c r="B3" i="25"/>
  <c r="J3" i="25"/>
  <c r="C28" i="25" s="1"/>
  <c r="R4" i="25"/>
  <c r="F4" i="25"/>
  <c r="H5" i="25"/>
  <c r="N6" i="25"/>
  <c r="B7" i="25"/>
  <c r="B22" i="25" s="1"/>
  <c r="J7" i="25"/>
  <c r="R8" i="25"/>
  <c r="F8" i="25"/>
  <c r="N10" i="25"/>
  <c r="B11" i="25"/>
  <c r="R9" i="25"/>
  <c r="F9" i="25"/>
  <c r="N11" i="25"/>
  <c r="B13" i="25"/>
  <c r="J13" i="25"/>
  <c r="B18" i="25"/>
  <c r="K14" i="25"/>
  <c r="R15" i="25"/>
  <c r="F15" i="25"/>
  <c r="M16" i="25"/>
  <c r="T17" i="25"/>
  <c r="H17" i="25"/>
  <c r="O18" i="25"/>
  <c r="C18" i="25"/>
  <c r="J20" i="25"/>
  <c r="O10" i="25"/>
  <c r="K13" i="25"/>
  <c r="K20" i="25"/>
  <c r="U3" i="25"/>
  <c r="I3" i="25"/>
  <c r="Q4" i="25"/>
  <c r="E4" i="25"/>
  <c r="E22" i="25" s="1"/>
  <c r="F5" i="25"/>
  <c r="F22" i="25" s="1"/>
  <c r="G12" i="29" s="1"/>
  <c r="M6" i="25"/>
  <c r="U7" i="25"/>
  <c r="I7" i="25"/>
  <c r="Q8" i="25"/>
  <c r="E8" i="25"/>
  <c r="M10" i="25"/>
  <c r="Q9" i="25"/>
  <c r="E9" i="25"/>
  <c r="M11" i="25"/>
  <c r="U13" i="25"/>
  <c r="I13" i="25"/>
  <c r="B20" i="25"/>
  <c r="J14" i="25"/>
  <c r="Q15" i="25"/>
  <c r="E15" i="25"/>
  <c r="L16" i="25"/>
  <c r="S17" i="25"/>
  <c r="G17" i="25"/>
  <c r="N18" i="25"/>
  <c r="U20" i="25"/>
  <c r="I20" i="25"/>
  <c r="T20" i="25"/>
  <c r="H20" i="25"/>
  <c r="S3" i="25"/>
  <c r="G3" i="25"/>
  <c r="O4" i="25"/>
  <c r="C4" i="25"/>
  <c r="D5" i="25"/>
  <c r="K6" i="25"/>
  <c r="S7" i="25"/>
  <c r="G7" i="25"/>
  <c r="O8" i="25"/>
  <c r="C8" i="25"/>
  <c r="K10" i="25"/>
  <c r="O9" i="25"/>
  <c r="C9" i="25"/>
  <c r="K11" i="25"/>
  <c r="S13" i="25"/>
  <c r="G13" i="25"/>
  <c r="T14" i="25"/>
  <c r="H14" i="25"/>
  <c r="O15" i="25"/>
  <c r="C15" i="25"/>
  <c r="J16" i="25"/>
  <c r="Q17" i="25"/>
  <c r="E17" i="25"/>
  <c r="L18" i="25"/>
  <c r="S20" i="25"/>
  <c r="G20" i="25"/>
  <c r="J10" i="25"/>
  <c r="R20" i="25"/>
  <c r="Q3" i="25"/>
  <c r="E3" i="25"/>
  <c r="M4" i="25"/>
  <c r="U5" i="25"/>
  <c r="U6" i="25"/>
  <c r="I6" i="25"/>
  <c r="Q7" i="25"/>
  <c r="E7" i="25"/>
  <c r="M8" i="25"/>
  <c r="U10" i="25"/>
  <c r="I10" i="25"/>
  <c r="M9" i="25"/>
  <c r="U11" i="25"/>
  <c r="I11" i="25"/>
  <c r="Q13" i="25"/>
  <c r="E13" i="25"/>
  <c r="R14" i="25"/>
  <c r="F14" i="25"/>
  <c r="M15" i="25"/>
  <c r="T16" i="25"/>
  <c r="H16" i="25"/>
  <c r="O17" i="25"/>
  <c r="C17" i="25"/>
  <c r="J18" i="25"/>
  <c r="Q20" i="25"/>
  <c r="E20" i="25"/>
  <c r="B10" i="25"/>
  <c r="R13" i="25"/>
  <c r="F20" i="25"/>
  <c r="P3" i="25"/>
  <c r="D3" i="25"/>
  <c r="L4" i="25"/>
  <c r="L22" i="25" s="1"/>
  <c r="M9" i="29" s="1"/>
  <c r="T5" i="25"/>
  <c r="T22" i="25" s="1"/>
  <c r="U9" i="29" s="1"/>
  <c r="T6" i="25"/>
  <c r="H6" i="25"/>
  <c r="P7" i="25"/>
  <c r="D7" i="25"/>
  <c r="L8" i="25"/>
  <c r="T10" i="25"/>
  <c r="H10" i="25"/>
  <c r="L9" i="25"/>
  <c r="T11" i="25"/>
  <c r="H11" i="25"/>
  <c r="P13" i="25"/>
  <c r="D13" i="25"/>
  <c r="Q14" i="25"/>
  <c r="E14" i="25"/>
  <c r="L15" i="25"/>
  <c r="S16" i="25"/>
  <c r="G16" i="25"/>
  <c r="N17" i="25"/>
  <c r="U18" i="25"/>
  <c r="I18" i="25"/>
  <c r="P20" i="25"/>
  <c r="D20" i="25"/>
  <c r="H13" i="25"/>
  <c r="O3" i="25"/>
  <c r="C3" i="25"/>
  <c r="K4" i="25"/>
  <c r="N5" i="25"/>
  <c r="N22" i="25" s="1"/>
  <c r="O9" i="29" s="1"/>
  <c r="S6" i="25"/>
  <c r="G6" i="25"/>
  <c r="O7" i="25"/>
  <c r="C7" i="25"/>
  <c r="K8" i="25"/>
  <c r="K22" i="25" s="1"/>
  <c r="S10" i="25"/>
  <c r="G10" i="25"/>
  <c r="K9" i="25"/>
  <c r="S11" i="25"/>
  <c r="G11" i="25"/>
  <c r="O13" i="25"/>
  <c r="C13" i="25"/>
  <c r="P14" i="25"/>
  <c r="D14" i="25"/>
  <c r="K15" i="25"/>
  <c r="R16" i="25"/>
  <c r="F16" i="25"/>
  <c r="M17" i="25"/>
  <c r="T18" i="25"/>
  <c r="H18" i="25"/>
  <c r="O20" i="25"/>
  <c r="C20" i="25"/>
  <c r="T13" i="25"/>
  <c r="F13" i="25"/>
  <c r="N3" i="25"/>
  <c r="B4" i="25"/>
  <c r="J4" i="25"/>
  <c r="M5" i="25"/>
  <c r="M22" i="25" s="1"/>
  <c r="N12" i="29" s="1"/>
  <c r="R6" i="25"/>
  <c r="F6" i="25"/>
  <c r="N7" i="25"/>
  <c r="B8" i="25"/>
  <c r="J8" i="25"/>
  <c r="J22" i="25" s="1"/>
  <c r="K12" i="29" s="1"/>
  <c r="R10" i="25"/>
  <c r="F10" i="25"/>
  <c r="J9" i="25"/>
  <c r="R11" i="25"/>
  <c r="F11" i="25"/>
  <c r="N13" i="25"/>
  <c r="B14" i="25"/>
  <c r="O14" i="25"/>
  <c r="C14" i="25"/>
  <c r="J15" i="25"/>
  <c r="Q16" i="25"/>
  <c r="E16" i="25"/>
  <c r="L17" i="25"/>
  <c r="S18" i="25"/>
  <c r="G18" i="25"/>
  <c r="N20" i="25"/>
  <c r="M3" i="25"/>
  <c r="U4" i="25"/>
  <c r="I4" i="25"/>
  <c r="L5" i="25"/>
  <c r="Q6" i="25"/>
  <c r="E6" i="25"/>
  <c r="M7" i="25"/>
  <c r="U8" i="25"/>
  <c r="U22" i="25" s="1"/>
  <c r="V9" i="29" s="1"/>
  <c r="I8" i="25"/>
  <c r="Q10" i="25"/>
  <c r="E10" i="25"/>
  <c r="U9" i="25"/>
  <c r="I9" i="25"/>
  <c r="Q11" i="25"/>
  <c r="E11" i="25"/>
  <c r="M13" i="25"/>
  <c r="B15" i="25"/>
  <c r="N14" i="25"/>
  <c r="U15" i="25"/>
  <c r="I15" i="25"/>
  <c r="I22" i="25" s="1"/>
  <c r="J9" i="29" s="1"/>
  <c r="P16" i="25"/>
  <c r="D16" i="25"/>
  <c r="K17" i="25"/>
  <c r="R18" i="25"/>
  <c r="F18" i="25"/>
  <c r="M20" i="25"/>
  <c r="T4" i="25"/>
  <c r="J5" i="25"/>
  <c r="P6" i="25"/>
  <c r="T8" i="25"/>
  <c r="P10" i="25"/>
  <c r="T9" i="25"/>
  <c r="P11" i="25"/>
  <c r="B16" i="25"/>
  <c r="T15" i="25"/>
  <c r="O16" i="25"/>
  <c r="Q18" i="25"/>
  <c r="H22" i="25"/>
  <c r="I9" i="29" s="1"/>
  <c r="D22" i="25"/>
  <c r="E9" i="29" s="1"/>
  <c r="F2" i="28"/>
  <c r="R18" i="29"/>
  <c r="G5" i="25"/>
  <c r="S5" i="25"/>
  <c r="R5" i="25"/>
  <c r="R22" i="25" s="1"/>
  <c r="Q5" i="25"/>
  <c r="Q22" i="25" s="1"/>
  <c r="P5" i="25"/>
  <c r="O5" i="25"/>
  <c r="O22" i="25" s="1"/>
  <c r="C5" i="25"/>
  <c r="P11" i="22"/>
  <c r="J9" i="22"/>
  <c r="I9" i="22"/>
  <c r="H9" i="22"/>
  <c r="G9" i="22"/>
  <c r="F9" i="22"/>
  <c r="E9" i="22"/>
  <c r="D9" i="22"/>
  <c r="C9" i="22"/>
  <c r="K5" i="22"/>
  <c r="J5" i="22"/>
  <c r="I5" i="22"/>
  <c r="I12" i="22" s="1"/>
  <c r="H5" i="22"/>
  <c r="E5" i="22"/>
  <c r="F5" i="22" s="1"/>
  <c r="D5" i="22"/>
  <c r="D12" i="22" s="1"/>
  <c r="K4" i="22"/>
  <c r="J4" i="22"/>
  <c r="I11" i="22" s="1"/>
  <c r="I4" i="22"/>
  <c r="H4" i="22"/>
  <c r="G4" i="22"/>
  <c r="F11" i="22" s="1"/>
  <c r="F4" i="22"/>
  <c r="E4" i="22"/>
  <c r="E11" i="22" s="1"/>
  <c r="D4" i="22"/>
  <c r="D11" i="22" s="1"/>
  <c r="C4" i="22"/>
  <c r="K3" i="22"/>
  <c r="J3" i="22"/>
  <c r="I10" i="22" s="1"/>
  <c r="I3" i="22"/>
  <c r="H10" i="22" s="1"/>
  <c r="H3" i="22"/>
  <c r="F3" i="22"/>
  <c r="G3" i="22" s="1"/>
  <c r="F10" i="22" s="1"/>
  <c r="E3" i="22"/>
  <c r="D3" i="22"/>
  <c r="C10" i="22" s="1"/>
  <c r="L12" i="29" l="1"/>
  <c r="L9" i="29"/>
  <c r="H12" i="22"/>
  <c r="C11" i="22"/>
  <c r="G22" i="25"/>
  <c r="J12" i="22"/>
  <c r="J10" i="22"/>
  <c r="G11" i="22"/>
  <c r="K11" i="22" s="1"/>
  <c r="D10" i="22"/>
  <c r="H11" i="22"/>
  <c r="C22" i="25"/>
  <c r="D12" i="29" s="1"/>
  <c r="J11" i="22"/>
  <c r="C5" i="22"/>
  <c r="C12" i="22" s="1"/>
  <c r="M12" i="29"/>
  <c r="M19" i="29" s="1"/>
  <c r="D13" i="33" s="1"/>
  <c r="N9" i="29"/>
  <c r="I12" i="29"/>
  <c r="I19" i="29" s="1"/>
  <c r="D9" i="33" s="1"/>
  <c r="C26" i="25"/>
  <c r="C27" i="25"/>
  <c r="J12" i="29"/>
  <c r="J19" i="29" s="1"/>
  <c r="D10" i="33" s="1"/>
  <c r="F10" i="33" s="1"/>
  <c r="V12" i="29"/>
  <c r="C30" i="25"/>
  <c r="G9" i="29"/>
  <c r="G19" i="29" s="1"/>
  <c r="D7" i="33" s="1"/>
  <c r="F7" i="33" s="1"/>
  <c r="U12" i="29"/>
  <c r="U19" i="29" s="1"/>
  <c r="D21" i="33" s="1"/>
  <c r="O12" i="29"/>
  <c r="O19" i="29" s="1"/>
  <c r="D15" i="33" s="1"/>
  <c r="F15" i="33" s="1"/>
  <c r="C29" i="25"/>
  <c r="E12" i="29"/>
  <c r="E19" i="29" s="1"/>
  <c r="D5" i="33" s="1"/>
  <c r="F5" i="33" s="1"/>
  <c r="K9" i="29"/>
  <c r="K19" i="29" s="1"/>
  <c r="D11" i="33" s="1"/>
  <c r="F11" i="33" s="1"/>
  <c r="L19" i="29"/>
  <c r="D12" i="33" s="1"/>
  <c r="F12" i="33" s="1"/>
  <c r="P12" i="29"/>
  <c r="P9" i="29"/>
  <c r="S9" i="29"/>
  <c r="S12" i="29"/>
  <c r="H9" i="29"/>
  <c r="H12" i="29"/>
  <c r="S22" i="25"/>
  <c r="P22" i="25"/>
  <c r="N19" i="29"/>
  <c r="D14" i="33" s="1"/>
  <c r="F14" i="33" s="1"/>
  <c r="F9" i="29"/>
  <c r="F12" i="29"/>
  <c r="R9" i="29"/>
  <c r="R12" i="29"/>
  <c r="C12" i="29"/>
  <c r="C9" i="29"/>
  <c r="G2" i="28"/>
  <c r="H2" i="28" s="1"/>
  <c r="I2" i="28" s="1"/>
  <c r="J2" i="28" s="1"/>
  <c r="V18" i="29"/>
  <c r="G5" i="22"/>
  <c r="E12" i="22"/>
  <c r="G10" i="22"/>
  <c r="L11" i="22"/>
  <c r="M11" i="22" s="1"/>
  <c r="N11" i="22" s="1"/>
  <c r="E10" i="22"/>
  <c r="L10" i="22" s="1"/>
  <c r="M10" i="22" s="1"/>
  <c r="N10" i="22" s="1"/>
  <c r="K9" i="22"/>
  <c r="L9" i="22"/>
  <c r="M9" i="22" s="1"/>
  <c r="N9" i="22" s="1"/>
  <c r="D9" i="29" l="1"/>
  <c r="V19" i="29"/>
  <c r="D22" i="33" s="1"/>
  <c r="F22" i="33" s="1"/>
  <c r="D19" i="29"/>
  <c r="D4" i="33" s="1"/>
  <c r="F4" i="33" s="1"/>
  <c r="F19" i="29"/>
  <c r="D6" i="33" s="1"/>
  <c r="F6" i="33" s="1"/>
  <c r="C19" i="29"/>
  <c r="D3" i="33" s="1"/>
  <c r="F3" i="33" s="1"/>
  <c r="G3" i="33" s="1"/>
  <c r="T9" i="29"/>
  <c r="T12" i="29"/>
  <c r="H19" i="29"/>
  <c r="D8" i="33" s="1"/>
  <c r="F8" i="33" s="1"/>
  <c r="S19" i="29"/>
  <c r="D19" i="33" s="1"/>
  <c r="F19" i="33" s="1"/>
  <c r="Q9" i="29"/>
  <c r="Q12" i="29"/>
  <c r="R19" i="29"/>
  <c r="D18" i="33" s="1"/>
  <c r="F18" i="33" s="1"/>
  <c r="P19" i="29"/>
  <c r="D16" i="33" s="1"/>
  <c r="F16" i="33" s="1"/>
  <c r="K10" i="22"/>
  <c r="G12" i="22"/>
  <c r="F12" i="22"/>
  <c r="L12" i="22" s="1"/>
  <c r="M12" i="22" s="1"/>
  <c r="N12" i="22" s="1"/>
  <c r="G4" i="33" l="1"/>
  <c r="H4" i="33" s="1"/>
  <c r="H3" i="33"/>
  <c r="T19" i="29"/>
  <c r="D20" i="33" s="1"/>
  <c r="F20" i="33" s="1"/>
  <c r="Q19" i="29"/>
  <c r="D17" i="33" s="1"/>
  <c r="N13" i="22"/>
  <c r="K12" i="22"/>
  <c r="G5" i="33" l="1"/>
  <c r="H5" i="33" s="1"/>
  <c r="O11" i="22"/>
  <c r="Q11" i="22" s="1"/>
  <c r="O10" i="22"/>
  <c r="Q10" i="22" s="1"/>
  <c r="O9" i="22"/>
  <c r="Q9" i="22" s="1"/>
  <c r="O12" i="22"/>
  <c r="Q12" i="22" s="1"/>
  <c r="G6" i="33" l="1"/>
  <c r="G7" i="33" s="1"/>
  <c r="E13" i="22"/>
  <c r="D13" i="22"/>
  <c r="C13" i="22"/>
  <c r="D7" i="22" s="1"/>
  <c r="J13" i="22"/>
  <c r="I13" i="22"/>
  <c r="F13" i="22"/>
  <c r="G13" i="22"/>
  <c r="H13" i="22"/>
  <c r="H6" i="33" l="1"/>
  <c r="H4" i="32"/>
  <c r="I9" i="31" s="1"/>
  <c r="I10" i="31" s="1"/>
  <c r="E9" i="33" s="1"/>
  <c r="F9" i="33" s="1"/>
  <c r="E7" i="22"/>
  <c r="G8" i="33"/>
  <c r="H7" i="33"/>
  <c r="D6" i="22"/>
  <c r="E6" i="22"/>
  <c r="E2" i="30" l="1"/>
  <c r="P3" i="32"/>
  <c r="Q4" i="31" s="1"/>
  <c r="D2" i="30"/>
  <c r="L3" i="32"/>
  <c r="M4" i="31" s="1"/>
  <c r="F7" i="22"/>
  <c r="L4" i="32"/>
  <c r="M9" i="31" s="1"/>
  <c r="M10" i="31" s="1"/>
  <c r="G9" i="33"/>
  <c r="H8" i="33"/>
  <c r="F6" i="22"/>
  <c r="F2" i="30" l="1"/>
  <c r="T3" i="32"/>
  <c r="U4" i="31" s="1"/>
  <c r="G7" i="22"/>
  <c r="P4" i="32"/>
  <c r="Q9" i="31" s="1"/>
  <c r="Q10" i="31" s="1"/>
  <c r="Q13" i="31"/>
  <c r="Q11" i="31"/>
  <c r="Q5" i="31"/>
  <c r="Q7" i="31" s="1"/>
  <c r="Q12" i="31"/>
  <c r="Q14" i="31" s="1"/>
  <c r="Q6" i="31"/>
  <c r="Q15" i="31" s="1"/>
  <c r="E17" i="33" s="1"/>
  <c r="F17" i="33" s="1"/>
  <c r="M12" i="31"/>
  <c r="M5" i="31"/>
  <c r="M7" i="31" s="1"/>
  <c r="M13" i="31"/>
  <c r="M11" i="31"/>
  <c r="M6" i="31"/>
  <c r="G10" i="33"/>
  <c r="H9" i="33"/>
  <c r="G6" i="22"/>
  <c r="G2" i="30" s="1"/>
  <c r="U13" i="31" l="1"/>
  <c r="U11" i="31"/>
  <c r="U6" i="31"/>
  <c r="U5" i="31"/>
  <c r="U7" i="31" s="1"/>
  <c r="U12" i="31"/>
  <c r="M14" i="31"/>
  <c r="M15" i="31"/>
  <c r="E13" i="33" s="1"/>
  <c r="F13" i="33" s="1"/>
  <c r="H7" i="22"/>
  <c r="I7" i="22" s="1"/>
  <c r="J7" i="22" s="1"/>
  <c r="K7" i="22" s="1"/>
  <c r="T4" i="32"/>
  <c r="U9" i="31" s="1"/>
  <c r="U10" i="31" s="1"/>
  <c r="H10" i="33"/>
  <c r="G11" i="33"/>
  <c r="H6" i="22"/>
  <c r="H2" i="30" s="1"/>
  <c r="U15" i="31" l="1"/>
  <c r="E21" i="33" s="1"/>
  <c r="F21" i="33" s="1"/>
  <c r="U14" i="31"/>
  <c r="G12" i="33"/>
  <c r="H11" i="33"/>
  <c r="I6" i="22"/>
  <c r="G13" i="33" l="1"/>
  <c r="H12" i="33"/>
  <c r="J6" i="22"/>
  <c r="G14" i="33" l="1"/>
  <c r="H13" i="33"/>
  <c r="K6" i="22"/>
  <c r="G15" i="33" l="1"/>
  <c r="H14" i="33"/>
  <c r="G16" i="33" l="1"/>
  <c r="H15" i="33"/>
  <c r="G17" i="33" l="1"/>
  <c r="H16" i="33"/>
  <c r="G18" i="33" l="1"/>
  <c r="H17" i="33"/>
  <c r="G19" i="33" l="1"/>
  <c r="H18" i="33"/>
  <c r="G20" i="33" l="1"/>
  <c r="H19" i="33"/>
  <c r="G21" i="33" l="1"/>
  <c r="H20" i="33"/>
  <c r="G22" i="33" l="1"/>
  <c r="H22" i="33" s="1"/>
  <c r="H21" i="33"/>
</calcChain>
</file>

<file path=xl/sharedStrings.xml><?xml version="1.0" encoding="utf-8"?>
<sst xmlns="http://schemas.openxmlformats.org/spreadsheetml/2006/main" count="162" uniqueCount="111">
  <si>
    <t>Year 1</t>
  </si>
  <si>
    <t>Year 2</t>
  </si>
  <si>
    <t>Year 3</t>
  </si>
  <si>
    <t>Rent</t>
  </si>
  <si>
    <t>Year 4</t>
  </si>
  <si>
    <t>Year 5</t>
  </si>
  <si>
    <t>Accounting and Legal</t>
  </si>
  <si>
    <t>Dues and Subscriptions</t>
  </si>
  <si>
    <t>Maintenance and Repairs</t>
  </si>
  <si>
    <t>Office Supplies</t>
  </si>
  <si>
    <t>Payroll Expenses</t>
  </si>
  <si>
    <t>Research and Development</t>
  </si>
  <si>
    <t>Salaries and Wages</t>
  </si>
  <si>
    <t>Taxes and Licenses</t>
  </si>
  <si>
    <t>Telephone</t>
  </si>
  <si>
    <t>Web Hosting and Domains</t>
  </si>
  <si>
    <t>Hiring Partner</t>
  </si>
  <si>
    <t>Linkedin</t>
  </si>
  <si>
    <t>Glassdoor</t>
  </si>
  <si>
    <t>Coursera</t>
  </si>
  <si>
    <t>Boss Zhipin</t>
  </si>
  <si>
    <t>Bubroo</t>
  </si>
  <si>
    <t>avg</t>
  </si>
  <si>
    <t>std</t>
  </si>
  <si>
    <t>v</t>
  </si>
  <si>
    <t>1/v</t>
  </si>
  <si>
    <t>Raw Weight</t>
  </si>
  <si>
    <t>Correction</t>
  </si>
  <si>
    <t>Weight</t>
  </si>
  <si>
    <t>W AVG</t>
  </si>
  <si>
    <t>Forecast</t>
  </si>
  <si>
    <t>RAW</t>
  </si>
  <si>
    <t>Year</t>
  </si>
  <si>
    <t>Q1</t>
  </si>
  <si>
    <t>Q2</t>
  </si>
  <si>
    <t>Q3</t>
  </si>
  <si>
    <t>Q4</t>
  </si>
  <si>
    <t>Full-Stack Developer</t>
  </si>
  <si>
    <t>UI/UX Designer</t>
  </si>
  <si>
    <t>Solution Architect</t>
  </si>
  <si>
    <t>Backend Engineer</t>
  </si>
  <si>
    <t>Product Manager</t>
  </si>
  <si>
    <t>Marketing Manager</t>
  </si>
  <si>
    <t>Digital Marketing Specialist</t>
  </si>
  <si>
    <t>Campus Partnerships Specialist</t>
  </si>
  <si>
    <t>Quality Assurance (QA) Engineer</t>
  </si>
  <si>
    <t>Customer Support Lead</t>
  </si>
  <si>
    <t>Human Resources (HR) Manager</t>
  </si>
  <si>
    <t>DevOps Engineer</t>
  </si>
  <si>
    <t>Customer Support Representative</t>
  </si>
  <si>
    <t>Account Manager</t>
  </si>
  <si>
    <t>Legal Counsel</t>
  </si>
  <si>
    <t>Accountant</t>
  </si>
  <si>
    <t>Bookkeeper</t>
  </si>
  <si>
    <t>CTO</t>
  </si>
  <si>
    <t>Data/AI Engineer</t>
  </si>
  <si>
    <t>Role</t>
  </si>
  <si>
    <t>Annual Salary (USD)</t>
  </si>
  <si>
    <t>Full-Stack Developer (Outsourced)</t>
  </si>
  <si>
    <t>UI/UX Designer (Outsourced)</t>
  </si>
  <si>
    <t>Solution Architect (Outsourced)</t>
  </si>
  <si>
    <t>Backend Engineer (Outsourced)</t>
  </si>
  <si>
    <t>Data/AI Engineer (Outsourced)</t>
  </si>
  <si>
    <t>Product Manager (Freelance)</t>
  </si>
  <si>
    <t>HR Manager (Freelance)</t>
  </si>
  <si>
    <t>Bookkeeper/Accountant (Freelance)</t>
  </si>
  <si>
    <t>Quaterly Salary (USD)</t>
  </si>
  <si>
    <t>Legal Counsel (Outsourced)</t>
  </si>
  <si>
    <t>Subscription Rate (Basic)</t>
  </si>
  <si>
    <t>Subscription Rate (Deluxe)</t>
  </si>
  <si>
    <t>Frequency</t>
  </si>
  <si>
    <t>Unit Price/mo</t>
  </si>
  <si>
    <t>Number of Hiring Partner</t>
  </si>
  <si>
    <t>Number of Individual User</t>
  </si>
  <si>
    <t>Hiring Partner Subscription</t>
  </si>
  <si>
    <t>Rate</t>
  </si>
  <si>
    <t>Single-time Payment</t>
  </si>
  <si>
    <t>Cert Course Registration (Low)</t>
  </si>
  <si>
    <t>Cert Course Registration (High)</t>
  </si>
  <si>
    <t>Online Diploma Registration</t>
  </si>
  <si>
    <t>Commision</t>
  </si>
  <si>
    <t>Sum Course</t>
  </si>
  <si>
    <t>Individual User Revenue Sum</t>
  </si>
  <si>
    <t>Sum Revenue</t>
  </si>
  <si>
    <t>Ins</t>
  </si>
  <si>
    <t>TT</t>
  </si>
  <si>
    <t>Youtube</t>
  </si>
  <si>
    <t>Per click unit Price</t>
  </si>
  <si>
    <t>Monthly Lump-sum</t>
  </si>
  <si>
    <t>Influcer unit price(low)</t>
  </si>
  <si>
    <t>Influcer unit price(High)</t>
  </si>
  <si>
    <t>Frequency(Low)</t>
  </si>
  <si>
    <t>Frequency(High)</t>
  </si>
  <si>
    <t>Click Frequency</t>
  </si>
  <si>
    <t>Months</t>
  </si>
  <si>
    <t>Marketing Investment Index</t>
  </si>
  <si>
    <t>Years</t>
  </si>
  <si>
    <t>Depreciation, Insurance</t>
  </si>
  <si>
    <t>Travel, Utilities</t>
  </si>
  <si>
    <t>Development Cost</t>
  </si>
  <si>
    <t>Advertisement</t>
  </si>
  <si>
    <t xml:space="preserve">Cloud Cost </t>
  </si>
  <si>
    <t>Individual User</t>
  </si>
  <si>
    <t>BB Hiring Partner</t>
  </si>
  <si>
    <t>Revenue</t>
  </si>
  <si>
    <t>Net Profit/Loss</t>
  </si>
  <si>
    <t>Expense</t>
  </si>
  <si>
    <t>Profit/Loss</t>
  </si>
  <si>
    <t>Outstanding Ending Balance</t>
  </si>
  <si>
    <t xml:space="preserve">TOTAL HC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</si>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</sst>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409]mmm\-yy;@"/>
    <numFmt numFmtId="166" formatCode="_([$$-409]* #,##0.00_);_([$$-409]* \(#,##0.00\);_([$$-409]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u/>
      <sz val="10"/>
      <color indexed="12"/>
      <name val="Calibri"/>
      <family val="2"/>
      <scheme val="minor"/>
    </font>
    <font>
      <u/>
      <sz val="10"/>
      <color indexed="12"/>
      <name val="Verdana"/>
      <family val="2"/>
    </font>
    <font>
      <sz val="1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ashed">
        <color auto="1"/>
      </bottom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dashed">
        <color auto="1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ashed">
        <color auto="1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165" fontId="0" fillId="0" borderId="0"/>
    <xf numFmtId="43" fontId="1" fillId="0" borderId="0" applyFont="0" applyFill="0" applyBorder="0" applyAlignment="0" applyProtection="0"/>
    <xf numFmtId="165" fontId="5" fillId="0" borderId="0" applyNumberFormat="0" applyFill="0" applyBorder="0" applyAlignment="0" applyProtection="0">
      <alignment vertical="top"/>
      <protection locked="0"/>
    </xf>
    <xf numFmtId="165" fontId="4" fillId="0" borderId="0"/>
    <xf numFmtId="165" fontId="6" fillId="0" borderId="0" applyNumberFormat="0" applyFill="0" applyBorder="0" applyAlignment="0" applyProtection="0">
      <alignment vertical="top"/>
      <protection locked="0"/>
    </xf>
  </cellStyleXfs>
  <cellXfs count="213">
    <xf numFmtId="165" fontId="0" fillId="0" borderId="0" xfId="0"/>
    <xf numFmtId="3" fontId="0" fillId="0" borderId="0" xfId="0" applyNumberFormat="1"/>
    <xf numFmtId="3" fontId="0" fillId="6" borderId="0" xfId="0" applyNumberFormat="1" applyFill="1"/>
    <xf numFmtId="165" fontId="0" fillId="7" borderId="0" xfId="0" applyFill="1"/>
    <xf numFmtId="165" fontId="0" fillId="6" borderId="0" xfId="0" applyFill="1"/>
    <xf numFmtId="165" fontId="8" fillId="0" borderId="0" xfId="0" applyFont="1"/>
    <xf numFmtId="3" fontId="0" fillId="0" borderId="0" xfId="0" applyNumberFormat="1" applyFill="1"/>
    <xf numFmtId="165" fontId="0" fillId="9" borderId="0" xfId="0" applyFill="1"/>
    <xf numFmtId="165" fontId="0" fillId="4" borderId="0" xfId="0" applyFill="1"/>
    <xf numFmtId="165" fontId="0" fillId="5" borderId="0" xfId="0" applyFill="1"/>
    <xf numFmtId="165" fontId="0" fillId="10" borderId="0" xfId="0" applyFill="1"/>
    <xf numFmtId="165" fontId="0" fillId="8" borderId="0" xfId="0" applyFill="1"/>
    <xf numFmtId="3" fontId="0" fillId="11" borderId="0" xfId="0" applyNumberFormat="1" applyFill="1"/>
    <xf numFmtId="165" fontId="3" fillId="0" borderId="0" xfId="0" applyFont="1" applyAlignment="1">
      <alignment horizontal="center" vertical="center" wrapText="1"/>
    </xf>
    <xf numFmtId="165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165" fontId="3" fillId="0" borderId="0" xfId="0" applyFont="1" applyAlignment="1">
      <alignment horizontal="left" vertical="center" indent="1"/>
    </xf>
    <xf numFmtId="165" fontId="9" fillId="0" borderId="0" xfId="0" applyFont="1" applyAlignment="1">
      <alignment vertical="center"/>
    </xf>
    <xf numFmtId="44" fontId="0" fillId="0" borderId="0" xfId="0" applyNumberFormat="1"/>
    <xf numFmtId="44" fontId="0" fillId="12" borderId="0" xfId="0" applyNumberFormat="1" applyFill="1"/>
    <xf numFmtId="44" fontId="0" fillId="0" borderId="2" xfId="0" applyNumberFormat="1" applyBorder="1"/>
    <xf numFmtId="165" fontId="0" fillId="0" borderId="0" xfId="0" applyNumberFormat="1"/>
    <xf numFmtId="165" fontId="0" fillId="5" borderId="3" xfId="0" applyNumberFormat="1" applyFill="1" applyBorder="1" applyAlignment="1">
      <alignment horizontal="right"/>
    </xf>
    <xf numFmtId="165" fontId="0" fillId="5" borderId="4" xfId="0" applyNumberFormat="1" applyFill="1" applyBorder="1" applyAlignment="1">
      <alignment horizontal="right"/>
    </xf>
    <xf numFmtId="165" fontId="0" fillId="8" borderId="4" xfId="0" applyNumberFormat="1" applyFill="1" applyBorder="1" applyAlignment="1">
      <alignment horizontal="right"/>
    </xf>
    <xf numFmtId="165" fontId="0" fillId="4" borderId="4" xfId="0" applyNumberFormat="1" applyFill="1" applyBorder="1" applyAlignment="1">
      <alignment horizontal="right"/>
    </xf>
    <xf numFmtId="165" fontId="0" fillId="10" borderId="4" xfId="0" applyNumberFormat="1" applyFill="1" applyBorder="1" applyAlignment="1">
      <alignment horizontal="right"/>
    </xf>
    <xf numFmtId="165" fontId="0" fillId="9" borderId="4" xfId="0" applyNumberFormat="1" applyFill="1" applyBorder="1" applyAlignment="1">
      <alignment horizontal="right"/>
    </xf>
    <xf numFmtId="165" fontId="0" fillId="7" borderId="0" xfId="0" applyNumberFormat="1" applyFill="1"/>
    <xf numFmtId="44" fontId="0" fillId="0" borderId="0" xfId="0" applyNumberFormat="1" applyFill="1"/>
    <xf numFmtId="165" fontId="0" fillId="0" borderId="2" xfId="0" applyNumberFormat="1" applyBorder="1"/>
    <xf numFmtId="165" fontId="0" fillId="0" borderId="0" xfId="0" applyNumberFormat="1" applyBorder="1"/>
    <xf numFmtId="3" fontId="0" fillId="0" borderId="0" xfId="0" applyNumberFormat="1" applyBorder="1"/>
    <xf numFmtId="165" fontId="0" fillId="0" borderId="1" xfId="0" applyNumberFormat="1" applyBorder="1"/>
    <xf numFmtId="165" fontId="0" fillId="0" borderId="0" xfId="0" applyNumberFormat="1" applyAlignment="1">
      <alignment horizontal="right"/>
    </xf>
    <xf numFmtId="165" fontId="0" fillId="13" borderId="0" xfId="0" applyNumberFormat="1" applyFill="1"/>
    <xf numFmtId="165" fontId="0" fillId="2" borderId="0" xfId="0" applyNumberFormat="1" applyFill="1"/>
    <xf numFmtId="165" fontId="7" fillId="10" borderId="0" xfId="0" applyNumberFormat="1" applyFont="1" applyFill="1"/>
    <xf numFmtId="165" fontId="0" fillId="10" borderId="0" xfId="0" applyNumberFormat="1" applyFill="1"/>
    <xf numFmtId="165" fontId="0" fillId="0" borderId="0" xfId="0" applyNumberFormat="1" applyAlignment="1">
      <alignment horizontal="right" wrapText="1"/>
    </xf>
    <xf numFmtId="165" fontId="0" fillId="5" borderId="0" xfId="0" applyNumberFormat="1" applyFill="1"/>
    <xf numFmtId="165" fontId="0" fillId="8" borderId="0" xfId="0" applyNumberFormat="1" applyFill="1"/>
    <xf numFmtId="165" fontId="0" fillId="4" borderId="0" xfId="0" applyNumberFormat="1" applyFill="1"/>
    <xf numFmtId="165" fontId="0" fillId="9" borderId="0" xfId="0" applyNumberFormat="1" applyFill="1"/>
    <xf numFmtId="43" fontId="0" fillId="0" borderId="0" xfId="0" applyNumberFormat="1"/>
    <xf numFmtId="4" fontId="0" fillId="0" borderId="0" xfId="0" applyNumberFormat="1" applyBorder="1"/>
    <xf numFmtId="4" fontId="0" fillId="0" borderId="0" xfId="0" applyNumberFormat="1"/>
    <xf numFmtId="4" fontId="0" fillId="0" borderId="1" xfId="0" applyNumberFormat="1" applyBorder="1"/>
    <xf numFmtId="43" fontId="0" fillId="0" borderId="0" xfId="0" applyNumberFormat="1" applyAlignment="1">
      <alignment vertical="center" wrapText="1"/>
    </xf>
    <xf numFmtId="43" fontId="0" fillId="0" borderId="0" xfId="0" applyNumberFormat="1" applyFon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0" fillId="0" borderId="0" xfId="0" applyNumberFormat="1"/>
    <xf numFmtId="43" fontId="0" fillId="0" borderId="0" xfId="0" applyNumberFormat="1" applyFill="1"/>
    <xf numFmtId="0" fontId="0" fillId="7" borderId="0" xfId="0" applyNumberFormat="1" applyFill="1"/>
    <xf numFmtId="4" fontId="0" fillId="11" borderId="0" xfId="0" applyNumberFormat="1" applyFill="1"/>
    <xf numFmtId="165" fontId="2" fillId="12" borderId="6" xfId="0" applyNumberFormat="1" applyFont="1" applyFill="1" applyBorder="1" applyAlignment="1">
      <alignment horizontal="center" vertical="center" wrapText="1"/>
    </xf>
    <xf numFmtId="165" fontId="0" fillId="3" borderId="7" xfId="0" applyNumberFormat="1" applyFill="1" applyBorder="1" applyAlignment="1">
      <alignment vertical="center" wrapText="1"/>
    </xf>
    <xf numFmtId="166" fontId="0" fillId="3" borderId="7" xfId="0" applyNumberFormat="1" applyFill="1" applyBorder="1" applyAlignment="1">
      <alignment horizontal="left" vertical="center" wrapText="1"/>
    </xf>
    <xf numFmtId="165" fontId="0" fillId="3" borderId="8" xfId="0" applyNumberFormat="1" applyFill="1" applyBorder="1" applyAlignment="1">
      <alignment vertical="center" wrapText="1"/>
    </xf>
    <xf numFmtId="166" fontId="0" fillId="3" borderId="8" xfId="0" applyNumberFormat="1" applyFill="1" applyBorder="1" applyAlignment="1">
      <alignment horizontal="left" vertical="center" wrapText="1"/>
    </xf>
    <xf numFmtId="165" fontId="0" fillId="3" borderId="9" xfId="0" applyNumberFormat="1" applyFill="1" applyBorder="1" applyAlignment="1">
      <alignment vertical="center" wrapText="1"/>
    </xf>
    <xf numFmtId="166" fontId="0" fillId="3" borderId="9" xfId="0" applyNumberFormat="1" applyFill="1" applyBorder="1" applyAlignment="1">
      <alignment horizontal="left" vertical="center" wrapText="1"/>
    </xf>
    <xf numFmtId="164" fontId="0" fillId="0" borderId="10" xfId="1" applyNumberFormat="1" applyFont="1" applyBorder="1"/>
    <xf numFmtId="165" fontId="0" fillId="0" borderId="13" xfId="0" applyNumberFormat="1" applyBorder="1"/>
    <xf numFmtId="165" fontId="0" fillId="0" borderId="17" xfId="0" applyNumberFormat="1" applyBorder="1"/>
    <xf numFmtId="165" fontId="0" fillId="9" borderId="18" xfId="0" applyNumberFormat="1" applyFill="1" applyBorder="1" applyAlignment="1">
      <alignment horizontal="right"/>
    </xf>
    <xf numFmtId="165" fontId="0" fillId="0" borderId="19" xfId="0" applyNumberFormat="1" applyBorder="1"/>
    <xf numFmtId="165" fontId="0" fillId="0" borderId="21" xfId="0" applyNumberFormat="1" applyBorder="1"/>
    <xf numFmtId="164" fontId="0" fillId="0" borderId="24" xfId="1" applyNumberFormat="1" applyFont="1" applyBorder="1"/>
    <xf numFmtId="165" fontId="2" fillId="12" borderId="23" xfId="0" applyNumberFormat="1" applyFont="1" applyFill="1" applyBorder="1" applyAlignment="1">
      <alignment horizontal="right"/>
    </xf>
    <xf numFmtId="165" fontId="0" fillId="0" borderId="25" xfId="0" applyNumberFormat="1" applyBorder="1"/>
    <xf numFmtId="164" fontId="0" fillId="0" borderId="26" xfId="1" applyNumberFormat="1" applyFont="1" applyBorder="1"/>
    <xf numFmtId="164" fontId="0" fillId="0" borderId="27" xfId="1" applyNumberFormat="1" applyFont="1" applyBorder="1"/>
    <xf numFmtId="165" fontId="0" fillId="0" borderId="28" xfId="0" applyNumberFormat="1" applyBorder="1"/>
    <xf numFmtId="164" fontId="0" fillId="0" borderId="8" xfId="1" applyNumberFormat="1" applyFont="1" applyBorder="1"/>
    <xf numFmtId="164" fontId="0" fillId="0" borderId="29" xfId="1" applyNumberFormat="1" applyFont="1" applyBorder="1"/>
    <xf numFmtId="165" fontId="0" fillId="0" borderId="30" xfId="0" applyNumberFormat="1" applyBorder="1"/>
    <xf numFmtId="164" fontId="0" fillId="0" borderId="31" xfId="1" applyNumberFormat="1" applyFont="1" applyBorder="1"/>
    <xf numFmtId="164" fontId="0" fillId="0" borderId="32" xfId="1" applyNumberFormat="1" applyFont="1" applyBorder="1"/>
    <xf numFmtId="166" fontId="0" fillId="0" borderId="33" xfId="0" applyNumberFormat="1" applyBorder="1"/>
    <xf numFmtId="166" fontId="0" fillId="0" borderId="8" xfId="0" applyNumberFormat="1" applyBorder="1"/>
    <xf numFmtId="166" fontId="0" fillId="0" borderId="9" xfId="0" applyNumberFormat="1" applyBorder="1"/>
    <xf numFmtId="166" fontId="3" fillId="0" borderId="10" xfId="0" applyNumberFormat="1" applyFont="1" applyBorder="1"/>
    <xf numFmtId="166" fontId="0" fillId="0" borderId="35" xfId="0" applyNumberFormat="1" applyBorder="1"/>
    <xf numFmtId="166" fontId="0" fillId="0" borderId="29" xfId="0" applyNumberFormat="1" applyBorder="1"/>
    <xf numFmtId="166" fontId="0" fillId="0" borderId="36" xfId="0" applyNumberFormat="1" applyBorder="1"/>
    <xf numFmtId="166" fontId="3" fillId="0" borderId="24" xfId="0" applyNumberFormat="1" applyFont="1" applyBorder="1"/>
    <xf numFmtId="165" fontId="0" fillId="5" borderId="1" xfId="0" applyFont="1" applyFill="1" applyBorder="1" applyAlignment="1">
      <alignment horizontal="center" vertical="center"/>
    </xf>
    <xf numFmtId="165" fontId="0" fillId="8" borderId="1" xfId="0" applyFont="1" applyFill="1" applyBorder="1" applyAlignment="1">
      <alignment horizontal="center" vertical="center"/>
    </xf>
    <xf numFmtId="165" fontId="0" fillId="4" borderId="1" xfId="0" applyFont="1" applyFill="1" applyBorder="1" applyAlignment="1">
      <alignment horizontal="center" vertical="center"/>
    </xf>
    <xf numFmtId="165" fontId="0" fillId="10" borderId="1" xfId="0" applyFont="1" applyFill="1" applyBorder="1" applyAlignment="1">
      <alignment horizontal="center" vertical="center"/>
    </xf>
    <xf numFmtId="165" fontId="0" fillId="9" borderId="1" xfId="0" applyFont="1" applyFill="1" applyBorder="1" applyAlignment="1">
      <alignment horizontal="center" vertical="center"/>
    </xf>
    <xf numFmtId="165" fontId="0" fillId="9" borderId="20" xfId="0" applyFont="1" applyFill="1" applyBorder="1" applyAlignment="1">
      <alignment horizontal="center" vertical="center"/>
    </xf>
    <xf numFmtId="165" fontId="0" fillId="4" borderId="5" xfId="0" applyFont="1" applyFill="1" applyBorder="1" applyAlignment="1">
      <alignment horizontal="center" vertical="center"/>
    </xf>
    <xf numFmtId="166" fontId="0" fillId="0" borderId="38" xfId="0" applyNumberFormat="1" applyBorder="1"/>
    <xf numFmtId="166" fontId="0" fillId="0" borderId="39" xfId="0" applyNumberFormat="1" applyBorder="1"/>
    <xf numFmtId="166" fontId="0" fillId="0" borderId="40" xfId="0" applyNumberFormat="1" applyBorder="1"/>
    <xf numFmtId="166" fontId="3" fillId="0" borderId="12" xfId="0" applyNumberFormat="1" applyFont="1" applyBorder="1"/>
    <xf numFmtId="165" fontId="0" fillId="8" borderId="5" xfId="0" applyFont="1" applyFill="1" applyBorder="1" applyAlignment="1">
      <alignment horizontal="center" vertical="center"/>
    </xf>
    <xf numFmtId="165" fontId="0" fillId="5" borderId="5" xfId="0" applyFont="1" applyFill="1" applyBorder="1" applyAlignment="1">
      <alignment horizontal="center" vertical="center"/>
    </xf>
    <xf numFmtId="165" fontId="0" fillId="10" borderId="5" xfId="0" applyFont="1" applyFill="1" applyBorder="1" applyAlignment="1">
      <alignment horizontal="center" vertical="center"/>
    </xf>
    <xf numFmtId="165" fontId="0" fillId="0" borderId="42" xfId="0" applyNumberFormat="1" applyBorder="1"/>
    <xf numFmtId="165" fontId="3" fillId="0" borderId="43" xfId="0" applyNumberFormat="1" applyFont="1" applyBorder="1"/>
    <xf numFmtId="165" fontId="3" fillId="0" borderId="28" xfId="0" applyNumberFormat="1" applyFont="1" applyBorder="1"/>
    <xf numFmtId="165" fontId="3" fillId="0" borderId="44" xfId="0" applyNumberFormat="1" applyFont="1" applyBorder="1"/>
    <xf numFmtId="165" fontId="2" fillId="12" borderId="45" xfId="0" applyNumberFormat="1" applyFont="1" applyFill="1" applyBorder="1" applyAlignment="1">
      <alignment horizontal="right"/>
    </xf>
    <xf numFmtId="0" fontId="3" fillId="0" borderId="0" xfId="0" applyNumberFormat="1" applyFont="1"/>
    <xf numFmtId="165" fontId="2" fillId="12" borderId="41" xfId="0" applyNumberFormat="1" applyFont="1" applyFill="1" applyBorder="1"/>
    <xf numFmtId="165" fontId="0" fillId="5" borderId="6" xfId="0" applyFill="1" applyBorder="1" applyAlignment="1">
      <alignment horizontal="center"/>
    </xf>
    <xf numFmtId="165" fontId="0" fillId="5" borderId="12" xfId="0" applyFill="1" applyBorder="1" applyAlignment="1">
      <alignment horizontal="center"/>
    </xf>
    <xf numFmtId="165" fontId="0" fillId="8" borderId="6" xfId="0" applyFill="1" applyBorder="1" applyAlignment="1">
      <alignment horizontal="center"/>
    </xf>
    <xf numFmtId="165" fontId="0" fillId="8" borderId="12" xfId="0" applyFill="1" applyBorder="1" applyAlignment="1">
      <alignment horizontal="center"/>
    </xf>
    <xf numFmtId="165" fontId="0" fillId="4" borderId="6" xfId="0" applyFill="1" applyBorder="1" applyAlignment="1">
      <alignment horizontal="center"/>
    </xf>
    <xf numFmtId="165" fontId="0" fillId="4" borderId="12" xfId="0" applyFill="1" applyBorder="1" applyAlignment="1">
      <alignment horizontal="center"/>
    </xf>
    <xf numFmtId="165" fontId="0" fillId="10" borderId="6" xfId="0" applyFill="1" applyBorder="1" applyAlignment="1">
      <alignment horizontal="center"/>
    </xf>
    <xf numFmtId="165" fontId="0" fillId="10" borderId="12" xfId="0" applyFill="1" applyBorder="1" applyAlignment="1">
      <alignment horizontal="center"/>
    </xf>
    <xf numFmtId="165" fontId="0" fillId="9" borderId="6" xfId="0" applyFill="1" applyBorder="1" applyAlignment="1">
      <alignment horizontal="center"/>
    </xf>
    <xf numFmtId="0" fontId="3" fillId="0" borderId="13" xfId="0" applyNumberFormat="1" applyFont="1" applyBorder="1"/>
    <xf numFmtId="165" fontId="0" fillId="0" borderId="37" xfId="0" applyNumberFormat="1" applyBorder="1"/>
    <xf numFmtId="165" fontId="0" fillId="9" borderId="24" xfId="0" applyFill="1" applyBorder="1" applyAlignment="1">
      <alignment horizontal="center"/>
    </xf>
    <xf numFmtId="165" fontId="2" fillId="12" borderId="23" xfId="0" applyNumberFormat="1" applyFont="1" applyFill="1" applyBorder="1"/>
    <xf numFmtId="166" fontId="0" fillId="0" borderId="0" xfId="0" applyNumberFormat="1" applyBorder="1"/>
    <xf numFmtId="166" fontId="0" fillId="0" borderId="11" xfId="0" applyNumberFormat="1" applyBorder="1"/>
    <xf numFmtId="166" fontId="0" fillId="0" borderId="22" xfId="0" applyNumberFormat="1" applyBorder="1"/>
    <xf numFmtId="166" fontId="0" fillId="0" borderId="10" xfId="0" applyNumberFormat="1" applyBorder="1"/>
    <xf numFmtId="166" fontId="0" fillId="0" borderId="12" xfId="0" applyNumberFormat="1" applyBorder="1"/>
    <xf numFmtId="166" fontId="0" fillId="0" borderId="24" xfId="0" applyNumberFormat="1" applyBorder="1"/>
    <xf numFmtId="166" fontId="3" fillId="0" borderId="47" xfId="0" applyNumberFormat="1" applyFont="1" applyFill="1" applyBorder="1"/>
    <xf numFmtId="166" fontId="3" fillId="6" borderId="49" xfId="0" applyNumberFormat="1" applyFont="1" applyFill="1" applyBorder="1"/>
    <xf numFmtId="166" fontId="3" fillId="6" borderId="48" xfId="0" applyNumberFormat="1" applyFont="1" applyFill="1" applyBorder="1"/>
    <xf numFmtId="0" fontId="2" fillId="17" borderId="46" xfId="0" applyNumberFormat="1" applyFont="1" applyFill="1" applyBorder="1" applyAlignment="1">
      <alignment horizontal="center" wrapText="1"/>
    </xf>
    <xf numFmtId="43" fontId="2" fillId="17" borderId="47" xfId="0" applyNumberFormat="1" applyFont="1" applyFill="1" applyBorder="1" applyAlignment="1">
      <alignment horizontal="center" wrapText="1"/>
    </xf>
    <xf numFmtId="43" fontId="2" fillId="16" borderId="48" xfId="0" applyNumberFormat="1" applyFont="1" applyFill="1" applyBorder="1" applyAlignment="1">
      <alignment horizontal="center" wrapText="1"/>
    </xf>
    <xf numFmtId="0" fontId="0" fillId="8" borderId="17" xfId="0" applyNumberFormat="1" applyFill="1" applyBorder="1"/>
    <xf numFmtId="43" fontId="0" fillId="8" borderId="0" xfId="0" applyNumberFormat="1" applyFill="1" applyBorder="1"/>
    <xf numFmtId="166" fontId="0" fillId="8" borderId="0" xfId="0" applyNumberFormat="1" applyFill="1" applyBorder="1"/>
    <xf numFmtId="166" fontId="0" fillId="14" borderId="22" xfId="0" applyNumberFormat="1" applyFill="1" applyBorder="1"/>
    <xf numFmtId="0" fontId="0" fillId="10" borderId="17" xfId="0" applyNumberFormat="1" applyFill="1" applyBorder="1"/>
    <xf numFmtId="43" fontId="0" fillId="10" borderId="0" xfId="0" applyNumberFormat="1" applyFill="1" applyBorder="1"/>
    <xf numFmtId="166" fontId="0" fillId="10" borderId="0" xfId="0" applyNumberFormat="1" applyFill="1" applyBorder="1"/>
    <xf numFmtId="166" fontId="0" fillId="18" borderId="22" xfId="0" applyNumberFormat="1" applyFill="1" applyBorder="1"/>
    <xf numFmtId="0" fontId="0" fillId="5" borderId="17" xfId="0" applyNumberFormat="1" applyFill="1" applyBorder="1"/>
    <xf numFmtId="43" fontId="0" fillId="5" borderId="0" xfId="0" applyNumberFormat="1" applyFill="1" applyBorder="1"/>
    <xf numFmtId="166" fontId="0" fillId="5" borderId="0" xfId="0" applyNumberFormat="1" applyFill="1" applyBorder="1"/>
    <xf numFmtId="166" fontId="0" fillId="15" borderId="22" xfId="0" applyNumberFormat="1" applyFill="1" applyBorder="1"/>
    <xf numFmtId="0" fontId="0" fillId="4" borderId="17" xfId="0" applyNumberFormat="1" applyFill="1" applyBorder="1"/>
    <xf numFmtId="43" fontId="0" fillId="4" borderId="0" xfId="0" applyNumberFormat="1" applyFill="1" applyBorder="1"/>
    <xf numFmtId="166" fontId="0" fillId="4" borderId="0" xfId="0" applyNumberFormat="1" applyFill="1" applyBorder="1"/>
    <xf numFmtId="166" fontId="0" fillId="11" borderId="22" xfId="0" applyNumberFormat="1" applyFill="1" applyBorder="1"/>
    <xf numFmtId="0" fontId="0" fillId="9" borderId="17" xfId="0" applyNumberFormat="1" applyFill="1" applyBorder="1"/>
    <xf numFmtId="43" fontId="0" fillId="9" borderId="0" xfId="0" applyNumberFormat="1" applyFill="1" applyBorder="1"/>
    <xf numFmtId="166" fontId="0" fillId="9" borderId="0" xfId="0" applyNumberFormat="1" applyFill="1" applyBorder="1"/>
    <xf numFmtId="166" fontId="0" fillId="19" borderId="22" xfId="0" applyNumberFormat="1" applyFill="1" applyBorder="1"/>
    <xf numFmtId="43" fontId="0" fillId="9" borderId="6" xfId="0" applyNumberFormat="1" applyFill="1" applyBorder="1"/>
    <xf numFmtId="166" fontId="0" fillId="9" borderId="6" xfId="0" applyNumberFormat="1" applyFill="1" applyBorder="1"/>
    <xf numFmtId="166" fontId="0" fillId="19" borderId="50" xfId="0" applyNumberFormat="1" applyFill="1" applyBorder="1"/>
    <xf numFmtId="0" fontId="0" fillId="4" borderId="51" xfId="0" applyNumberFormat="1" applyFill="1" applyBorder="1"/>
    <xf numFmtId="43" fontId="0" fillId="4" borderId="52" xfId="0" applyNumberFormat="1" applyFill="1" applyBorder="1"/>
    <xf numFmtId="166" fontId="0" fillId="4" borderId="52" xfId="0" applyNumberFormat="1" applyFill="1" applyBorder="1"/>
    <xf numFmtId="166" fontId="0" fillId="11" borderId="53" xfId="0" applyNumberFormat="1" applyFill="1" applyBorder="1"/>
    <xf numFmtId="0" fontId="0" fillId="5" borderId="51" xfId="0" applyNumberFormat="1" applyFill="1" applyBorder="1"/>
    <xf numFmtId="43" fontId="0" fillId="5" borderId="52" xfId="0" applyNumberFormat="1" applyFill="1" applyBorder="1"/>
    <xf numFmtId="166" fontId="0" fillId="5" borderId="52" xfId="0" applyNumberFormat="1" applyFill="1" applyBorder="1"/>
    <xf numFmtId="166" fontId="0" fillId="15" borderId="53" xfId="0" applyNumberFormat="1" applyFill="1" applyBorder="1"/>
    <xf numFmtId="0" fontId="0" fillId="10" borderId="51" xfId="0" applyNumberFormat="1" applyFill="1" applyBorder="1"/>
    <xf numFmtId="43" fontId="0" fillId="10" borderId="52" xfId="0" applyNumberFormat="1" applyFill="1" applyBorder="1"/>
    <xf numFmtId="166" fontId="0" fillId="10" borderId="52" xfId="0" applyNumberFormat="1" applyFill="1" applyBorder="1"/>
    <xf numFmtId="166" fontId="0" fillId="18" borderId="53" xfId="0" applyNumberFormat="1" applyFill="1" applyBorder="1"/>
    <xf numFmtId="0" fontId="0" fillId="8" borderId="51" xfId="0" applyNumberFormat="1" applyFill="1" applyBorder="1"/>
    <xf numFmtId="43" fontId="0" fillId="8" borderId="52" xfId="0" applyNumberFormat="1" applyFill="1" applyBorder="1"/>
    <xf numFmtId="166" fontId="0" fillId="8" borderId="52" xfId="0" applyNumberFormat="1" applyFill="1" applyBorder="1"/>
    <xf numFmtId="166" fontId="0" fillId="14" borderId="53" xfId="0" applyNumberFormat="1" applyFill="1" applyBorder="1"/>
    <xf numFmtId="0" fontId="0" fillId="5" borderId="14" xfId="0" applyNumberFormat="1" applyFill="1" applyBorder="1" applyAlignment="1">
      <alignment horizontal="center"/>
    </xf>
    <xf numFmtId="0" fontId="0" fillId="5" borderId="15" xfId="0" applyNumberFormat="1" applyFill="1" applyBorder="1" applyAlignment="1">
      <alignment horizontal="center"/>
    </xf>
    <xf numFmtId="0" fontId="0" fillId="8" borderId="15" xfId="0" applyNumberFormat="1" applyFill="1" applyBorder="1" applyAlignment="1">
      <alignment horizontal="center"/>
    </xf>
    <xf numFmtId="0" fontId="0" fillId="4" borderId="15" xfId="0" applyNumberFormat="1" applyFill="1" applyBorder="1" applyAlignment="1">
      <alignment horizontal="center"/>
    </xf>
    <xf numFmtId="0" fontId="0" fillId="10" borderId="15" xfId="0" applyNumberFormat="1" applyFill="1" applyBorder="1" applyAlignment="1">
      <alignment horizontal="center"/>
    </xf>
    <xf numFmtId="0" fontId="0" fillId="9" borderId="15" xfId="0" applyNumberFormat="1" applyFill="1" applyBorder="1" applyAlignment="1">
      <alignment horizontal="center"/>
    </xf>
    <xf numFmtId="0" fontId="0" fillId="9" borderId="16" xfId="0" applyNumberFormat="1" applyFill="1" applyBorder="1" applyAlignment="1">
      <alignment horizontal="center"/>
    </xf>
    <xf numFmtId="164" fontId="3" fillId="5" borderId="15" xfId="1" applyNumberFormat="1" applyFont="1" applyFill="1" applyBorder="1" applyAlignment="1">
      <alignment horizontal="center" vertical="center"/>
    </xf>
    <xf numFmtId="164" fontId="3" fillId="5" borderId="34" xfId="1" applyNumberFormat="1" applyFont="1" applyFill="1" applyBorder="1" applyAlignment="1">
      <alignment horizontal="center" vertical="center"/>
    </xf>
    <xf numFmtId="164" fontId="3" fillId="8" borderId="14" xfId="1" applyNumberFormat="1" applyFont="1" applyFill="1" applyBorder="1" applyAlignment="1">
      <alignment horizontal="center" vertical="center"/>
    </xf>
    <xf numFmtId="164" fontId="3" fillId="8" borderId="15" xfId="1" applyNumberFormat="1" applyFont="1" applyFill="1" applyBorder="1" applyAlignment="1">
      <alignment horizontal="center" vertical="center"/>
    </xf>
    <xf numFmtId="164" fontId="3" fillId="8" borderId="34" xfId="1" applyNumberFormat="1" applyFont="1" applyFill="1" applyBorder="1" applyAlignment="1">
      <alignment horizontal="center" vertical="center"/>
    </xf>
    <xf numFmtId="164" fontId="3" fillId="4" borderId="14" xfId="1" applyNumberFormat="1" applyFont="1" applyFill="1" applyBorder="1" applyAlignment="1">
      <alignment horizontal="center" vertical="center"/>
    </xf>
    <xf numFmtId="164" fontId="3" fillId="4" borderId="15" xfId="1" applyNumberFormat="1" applyFont="1" applyFill="1" applyBorder="1" applyAlignment="1">
      <alignment horizontal="center" vertical="center"/>
    </xf>
    <xf numFmtId="164" fontId="3" fillId="4" borderId="34" xfId="1" applyNumberFormat="1" applyFont="1" applyFill="1" applyBorder="1" applyAlignment="1">
      <alignment horizontal="center" vertical="center"/>
    </xf>
    <xf numFmtId="164" fontId="3" fillId="10" borderId="14" xfId="1" applyNumberFormat="1" applyFont="1" applyFill="1" applyBorder="1" applyAlignment="1">
      <alignment horizontal="center" vertical="center"/>
    </xf>
    <xf numFmtId="164" fontId="3" fillId="10" borderId="15" xfId="1" applyNumberFormat="1" applyFont="1" applyFill="1" applyBorder="1" applyAlignment="1">
      <alignment horizontal="center" vertical="center"/>
    </xf>
    <xf numFmtId="164" fontId="3" fillId="10" borderId="34" xfId="1" applyNumberFormat="1" applyFont="1" applyFill="1" applyBorder="1" applyAlignment="1">
      <alignment horizontal="center" vertical="center"/>
    </xf>
    <xf numFmtId="164" fontId="3" fillId="9" borderId="14" xfId="1" applyNumberFormat="1" applyFont="1" applyFill="1" applyBorder="1" applyAlignment="1">
      <alignment horizontal="center" vertical="center"/>
    </xf>
    <xf numFmtId="164" fontId="3" fillId="9" borderId="15" xfId="1" applyNumberFormat="1" applyFont="1" applyFill="1" applyBorder="1" applyAlignment="1">
      <alignment horizontal="center" vertical="center"/>
    </xf>
    <xf numFmtId="164" fontId="3" fillId="9" borderId="16" xfId="1" applyNumberFormat="1" applyFont="1" applyFill="1" applyBorder="1" applyAlignment="1">
      <alignment horizontal="center" vertical="center"/>
    </xf>
    <xf numFmtId="0" fontId="3" fillId="5" borderId="14" xfId="0" applyNumberFormat="1" applyFont="1" applyFill="1" applyBorder="1" applyAlignment="1">
      <alignment horizontal="center"/>
    </xf>
    <xf numFmtId="0" fontId="3" fillId="5" borderId="15" xfId="0" applyNumberFormat="1" applyFont="1" applyFill="1" applyBorder="1" applyAlignment="1">
      <alignment horizontal="center"/>
    </xf>
    <xf numFmtId="0" fontId="3" fillId="5" borderId="34" xfId="0" applyNumberFormat="1" applyFont="1" applyFill="1" applyBorder="1" applyAlignment="1">
      <alignment horizontal="center"/>
    </xf>
    <xf numFmtId="0" fontId="3" fillId="8" borderId="14" xfId="0" applyNumberFormat="1" applyFont="1" applyFill="1" applyBorder="1" applyAlignment="1">
      <alignment horizontal="center"/>
    </xf>
    <xf numFmtId="0" fontId="3" fillId="8" borderId="15" xfId="0" applyNumberFormat="1" applyFont="1" applyFill="1" applyBorder="1" applyAlignment="1">
      <alignment horizontal="center"/>
    </xf>
    <xf numFmtId="0" fontId="3" fillId="8" borderId="34" xfId="0" applyNumberFormat="1" applyFont="1" applyFill="1" applyBorder="1" applyAlignment="1">
      <alignment horizontal="center"/>
    </xf>
    <xf numFmtId="0" fontId="3" fillId="4" borderId="15" xfId="0" applyNumberFormat="1" applyFont="1" applyFill="1" applyBorder="1" applyAlignment="1">
      <alignment horizontal="center"/>
    </xf>
    <xf numFmtId="0" fontId="3" fillId="4" borderId="34" xfId="0" applyNumberFormat="1" applyFont="1" applyFill="1" applyBorder="1" applyAlignment="1">
      <alignment horizontal="center"/>
    </xf>
    <xf numFmtId="0" fontId="3" fillId="10" borderId="15" xfId="0" applyNumberFormat="1" applyFont="1" applyFill="1" applyBorder="1" applyAlignment="1">
      <alignment horizontal="center"/>
    </xf>
    <xf numFmtId="0" fontId="3" fillId="10" borderId="34" xfId="0" applyNumberFormat="1" applyFont="1" applyFill="1" applyBorder="1" applyAlignment="1">
      <alignment horizontal="center"/>
    </xf>
    <xf numFmtId="0" fontId="3" fillId="9" borderId="15" xfId="0" applyNumberFormat="1" applyFont="1" applyFill="1" applyBorder="1" applyAlignment="1">
      <alignment horizontal="center"/>
    </xf>
    <xf numFmtId="0" fontId="3" fillId="9" borderId="16" xfId="0" applyNumberFormat="1" applyFont="1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5" fontId="0" fillId="8" borderId="4" xfId="0" applyNumberFormat="1" applyFill="1" applyBorder="1" applyAlignment="1">
      <alignment horizontal="center"/>
    </xf>
    <xf numFmtId="165" fontId="0" fillId="4" borderId="4" xfId="0" applyNumberFormat="1" applyFill="1" applyBorder="1" applyAlignment="1">
      <alignment horizontal="center"/>
    </xf>
    <xf numFmtId="165" fontId="0" fillId="10" borderId="4" xfId="0" applyNumberFormat="1" applyFill="1" applyBorder="1" applyAlignment="1">
      <alignment horizontal="center"/>
    </xf>
    <xf numFmtId="165" fontId="0" fillId="9" borderId="4" xfId="0" applyNumberFormat="1" applyFill="1" applyBorder="1" applyAlignment="1">
      <alignment horizontal="center"/>
    </xf>
    <xf numFmtId="165" fontId="0" fillId="9" borderId="5" xfId="0" applyNumberFormat="1" applyFill="1" applyBorder="1" applyAlignment="1">
      <alignment horizontal="center"/>
    </xf>
    <xf numFmtId="4" fontId="0" fillId="11" borderId="0" xfId="0" applyNumberFormat="1" applyFill="1" applyAlignment="1">
      <alignment horizontal="center"/>
    </xf>
  </cellXfs>
  <cellStyles count="5">
    <cellStyle name="Comma" xfId="1" builtinId="3"/>
    <cellStyle name="Hyperlink" xfId="2" builtinId="8" customBuiltin="1"/>
    <cellStyle name="Hyperlink 2" xfId="4" xr:uid="{00000000-0005-0000-0000-000000000000}"/>
    <cellStyle name="Normal" xfId="0" builtinId="0"/>
    <cellStyle name="Normal 2" xfId="3" xr:uid="{00000000-0005-0000-0000-000001000000}"/>
  </cellStyles>
  <dxfs count="1"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144247594050743"/>
          <c:y val="0.17685185185185184"/>
          <c:w val="0.78411307961504817"/>
          <c:h val="0.715748760571595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Cashflow5yr!$H$3:$H$22</c:f>
              <c:numCache>
                <c:formatCode>_([$$-409]* #,##0.00_);_([$$-409]* \(#,##0.00\);_([$$-409]* "-"??_);_(@_)</c:formatCode>
                <c:ptCount val="20"/>
                <c:pt idx="0">
                  <c:v>77830</c:v>
                </c:pt>
                <c:pt idx="1">
                  <c:v>192445</c:v>
                </c:pt>
                <c:pt idx="2">
                  <c:v>280845</c:v>
                </c:pt>
                <c:pt idx="3">
                  <c:v>788337.96875</c:v>
                </c:pt>
                <c:pt idx="4">
                  <c:v>869092.8125</c:v>
                </c:pt>
                <c:pt idx="5">
                  <c:v>909319.0625</c:v>
                </c:pt>
                <c:pt idx="6">
                  <c:v>936139.34816038434</c:v>
                </c:pt>
                <c:pt idx="7">
                  <c:v>1468969.8169103842</c:v>
                </c:pt>
                <c:pt idx="8">
                  <c:v>1543598.2544103842</c:v>
                </c:pt>
                <c:pt idx="9">
                  <c:v>1566439.6606603842</c:v>
                </c:pt>
                <c:pt idx="10">
                  <c:v>1549644.9195072241</c:v>
                </c:pt>
                <c:pt idx="11">
                  <c:v>2025813.0445072241</c:v>
                </c:pt>
                <c:pt idx="12">
                  <c:v>1848248.2320072241</c:v>
                </c:pt>
                <c:pt idx="13">
                  <c:v>1399454.4820072241</c:v>
                </c:pt>
                <c:pt idx="14">
                  <c:v>812410.37186589127</c:v>
                </c:pt>
                <c:pt idx="15">
                  <c:v>965312.05936589127</c:v>
                </c:pt>
                <c:pt idx="16">
                  <c:v>182068.12186589127</c:v>
                </c:pt>
                <c:pt idx="17">
                  <c:v>382050</c:v>
                </c:pt>
                <c:pt idx="18">
                  <c:v>382050</c:v>
                </c:pt>
                <c:pt idx="19">
                  <c:v>1598748.6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D-4E25-A3B7-FB1AFB4CE478}"/>
            </c:ext>
          </c:extLst>
        </c:ser>
        <c:ser>
          <c:idx val="1"/>
          <c:order val="1"/>
          <c:tx>
            <c:v>REVENUE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Cashflow5yr!$E$3:$E$22</c:f>
              <c:numCache>
                <c:formatCode>_([$$-409]* #,##0.00_);_([$$-409]* \(#,##0.00\);_([$$-409]* "-"??_);_(@_)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6907.03125</c:v>
                </c:pt>
                <c:pt idx="4">
                  <c:v>33860.15625</c:v>
                </c:pt>
                <c:pt idx="5">
                  <c:v>53973.75</c:v>
                </c:pt>
                <c:pt idx="6">
                  <c:v>67379.714339615632</c:v>
                </c:pt>
                <c:pt idx="7">
                  <c:v>115169.53125</c:v>
                </c:pt>
                <c:pt idx="8">
                  <c:v>122301.5625</c:v>
                </c:pt>
                <c:pt idx="9">
                  <c:v>129658.59375</c:v>
                </c:pt>
                <c:pt idx="10">
                  <c:v>169294.74115316008</c:v>
                </c:pt>
                <c:pt idx="11">
                  <c:v>404971.875</c:v>
                </c:pt>
                <c:pt idx="12">
                  <c:v>605657.8125</c:v>
                </c:pt>
                <c:pt idx="13">
                  <c:v>806343.75</c:v>
                </c:pt>
                <c:pt idx="14">
                  <c:v>944594.11014133284</c:v>
                </c:pt>
                <c:pt idx="15">
                  <c:v>1141570.3125</c:v>
                </c:pt>
                <c:pt idx="16">
                  <c:v>1275435.9375</c:v>
                </c:pt>
                <c:pt idx="17">
                  <c:v>1342706.25</c:v>
                </c:pt>
                <c:pt idx="18">
                  <c:v>1472636.3891537464</c:v>
                </c:pt>
                <c:pt idx="19">
                  <c:v>1731164.0625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D-4E25-A3B7-FB1AFB4CE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827392"/>
        <c:axId val="1294827808"/>
      </c:lineChart>
      <c:catAx>
        <c:axId val="1294827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27808"/>
        <c:crosses val="autoZero"/>
        <c:auto val="1"/>
        <c:lblAlgn val="ctr"/>
        <c:lblOffset val="100"/>
        <c:noMultiLvlLbl val="0"/>
      </c:catAx>
      <c:valAx>
        <c:axId val="129482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27392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963385</xdr:colOff>
      <xdr:row>7</xdr:row>
      <xdr:rowOff>126818</xdr:rowOff>
    </xdr:from>
    <xdr:to>
      <xdr:col>14</xdr:col>
      <xdr:colOff>527957</xdr:colOff>
      <xdr:row>12</xdr:row>
      <xdr:rowOff>46263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42-Blue2">
      <a:dk1>
        <a:sysClr val="windowText" lastClr="000000"/>
      </a:dk1>
      <a:lt1>
        <a:sysClr val="window" lastClr="FFFFFF"/>
      </a:lt1>
      <a:dk2>
        <a:srgbClr val="1F497D"/>
      </a:dk2>
      <a:lt2>
        <a:srgbClr val="EEECE2"/>
      </a:lt2>
      <a:accent1>
        <a:srgbClr val="3A5D9C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B1:V23"/>
  <sheetViews>
    <sheetView showGridLines="0" tabSelected="1" zoomScale="70" zoomScaleNormal="70" workbookViewId="0">
      <selection activeCell="W22" sqref="W22"/>
    </sheetView>
  </sheetViews>
  <sheetFormatPr defaultRowHeight="14.4" x14ac:dyDescent="0.55000000000000004"/>
  <cols>
    <col min="1" max="1" width="8.83984375" style="21"/>
    <col min="2" max="2" width="29.578125" style="21" customWidth="1"/>
    <col min="3" max="3" width="8.83984375" style="21"/>
    <col min="4" max="5" width="8.83984375" style="21" customWidth="1"/>
    <col min="6" max="16384" width="8.83984375" style="21"/>
  </cols>
  <sheetData>
    <row r="1" spans="2:22" ht="14.7" thickBot="1" x14ac:dyDescent="0.6"/>
    <row r="2" spans="2:22" x14ac:dyDescent="0.55000000000000004">
      <c r="B2" s="63"/>
      <c r="C2" s="172" t="str">
        <f>"Year "&amp;1</f>
        <v>Year 1</v>
      </c>
      <c r="D2" s="173"/>
      <c r="E2" s="173"/>
      <c r="F2" s="173"/>
      <c r="G2" s="174" t="str">
        <f>"Year "&amp;2</f>
        <v>Year 2</v>
      </c>
      <c r="H2" s="174"/>
      <c r="I2" s="174"/>
      <c r="J2" s="174"/>
      <c r="K2" s="175" t="str">
        <f>"Year "&amp;3</f>
        <v>Year 3</v>
      </c>
      <c r="L2" s="175"/>
      <c r="M2" s="175"/>
      <c r="N2" s="175"/>
      <c r="O2" s="176" t="str">
        <f>"Year "&amp;4</f>
        <v>Year 4</v>
      </c>
      <c r="P2" s="176"/>
      <c r="Q2" s="176"/>
      <c r="R2" s="176"/>
      <c r="S2" s="177" t="str">
        <f>"Year "&amp;5</f>
        <v>Year 5</v>
      </c>
      <c r="T2" s="177"/>
      <c r="U2" s="177"/>
      <c r="V2" s="178"/>
    </row>
    <row r="3" spans="2:22" x14ac:dyDescent="0.55000000000000004">
      <c r="B3" s="64"/>
      <c r="C3" s="22" t="s">
        <v>33</v>
      </c>
      <c r="D3" s="23" t="s">
        <v>34</v>
      </c>
      <c r="E3" s="23" t="s">
        <v>35</v>
      </c>
      <c r="F3" s="23" t="s">
        <v>36</v>
      </c>
      <c r="G3" s="24" t="s">
        <v>33</v>
      </c>
      <c r="H3" s="24" t="s">
        <v>34</v>
      </c>
      <c r="I3" s="24" t="s">
        <v>35</v>
      </c>
      <c r="J3" s="24" t="s">
        <v>36</v>
      </c>
      <c r="K3" s="25" t="s">
        <v>33</v>
      </c>
      <c r="L3" s="25" t="s">
        <v>34</v>
      </c>
      <c r="M3" s="25" t="s">
        <v>35</v>
      </c>
      <c r="N3" s="25" t="s">
        <v>36</v>
      </c>
      <c r="O3" s="26" t="s">
        <v>33</v>
      </c>
      <c r="P3" s="26" t="s">
        <v>34</v>
      </c>
      <c r="Q3" s="26" t="s">
        <v>35</v>
      </c>
      <c r="R3" s="26" t="s">
        <v>36</v>
      </c>
      <c r="S3" s="27" t="s">
        <v>33</v>
      </c>
      <c r="T3" s="27" t="s">
        <v>34</v>
      </c>
      <c r="U3" s="27" t="s">
        <v>35</v>
      </c>
      <c r="V3" s="65" t="s">
        <v>36</v>
      </c>
    </row>
    <row r="4" spans="2:22" x14ac:dyDescent="0.55000000000000004">
      <c r="B4" s="70" t="s">
        <v>54</v>
      </c>
      <c r="C4" s="71">
        <v>1</v>
      </c>
      <c r="D4" s="71">
        <v>1</v>
      </c>
      <c r="E4" s="71">
        <v>1</v>
      </c>
      <c r="F4" s="71">
        <v>1</v>
      </c>
      <c r="G4" s="71">
        <v>1</v>
      </c>
      <c r="H4" s="71">
        <v>1</v>
      </c>
      <c r="I4" s="71">
        <v>1</v>
      </c>
      <c r="J4" s="71">
        <v>1</v>
      </c>
      <c r="K4" s="71">
        <v>1</v>
      </c>
      <c r="L4" s="71">
        <v>1</v>
      </c>
      <c r="M4" s="71">
        <v>1</v>
      </c>
      <c r="N4" s="71">
        <v>1</v>
      </c>
      <c r="O4" s="71">
        <v>1</v>
      </c>
      <c r="P4" s="71">
        <v>1</v>
      </c>
      <c r="Q4" s="71">
        <v>1</v>
      </c>
      <c r="R4" s="71">
        <v>1</v>
      </c>
      <c r="S4" s="71">
        <v>1</v>
      </c>
      <c r="T4" s="71">
        <v>1</v>
      </c>
      <c r="U4" s="71">
        <v>1</v>
      </c>
      <c r="V4" s="72">
        <v>1</v>
      </c>
    </row>
    <row r="5" spans="2:22" x14ac:dyDescent="0.55000000000000004">
      <c r="B5" s="73" t="s">
        <v>37</v>
      </c>
      <c r="C5" s="74"/>
      <c r="D5" s="74"/>
      <c r="E5" s="74"/>
      <c r="F5" s="74"/>
      <c r="G5" s="74"/>
      <c r="H5" s="74"/>
      <c r="I5" s="74"/>
      <c r="J5" s="74"/>
      <c r="K5" s="74">
        <v>1</v>
      </c>
      <c r="L5" s="74">
        <v>1</v>
      </c>
      <c r="M5" s="74">
        <v>1</v>
      </c>
      <c r="N5" s="74">
        <v>1</v>
      </c>
      <c r="O5" s="74">
        <v>1</v>
      </c>
      <c r="P5" s="74">
        <v>1</v>
      </c>
      <c r="Q5" s="74">
        <v>1</v>
      </c>
      <c r="R5" s="74">
        <v>1</v>
      </c>
      <c r="S5" s="74">
        <v>1</v>
      </c>
      <c r="T5" s="74">
        <v>1</v>
      </c>
      <c r="U5" s="74">
        <v>1</v>
      </c>
      <c r="V5" s="75">
        <v>1</v>
      </c>
    </row>
    <row r="6" spans="2:22" x14ac:dyDescent="0.55000000000000004">
      <c r="B6" s="73" t="s">
        <v>38</v>
      </c>
      <c r="C6" s="74">
        <v>1</v>
      </c>
      <c r="D6" s="74">
        <v>1</v>
      </c>
      <c r="E6" s="74">
        <v>1</v>
      </c>
      <c r="F6" s="74">
        <v>1</v>
      </c>
      <c r="G6" s="74">
        <v>1</v>
      </c>
      <c r="H6" s="74">
        <v>1</v>
      </c>
      <c r="I6" s="74">
        <v>1</v>
      </c>
      <c r="J6" s="74">
        <v>1</v>
      </c>
      <c r="K6" s="74">
        <v>1</v>
      </c>
      <c r="L6" s="74">
        <v>1</v>
      </c>
      <c r="M6" s="74">
        <v>1</v>
      </c>
      <c r="N6" s="74">
        <v>1</v>
      </c>
      <c r="O6" s="74">
        <v>1</v>
      </c>
      <c r="P6" s="74">
        <v>1</v>
      </c>
      <c r="Q6" s="74">
        <v>1</v>
      </c>
      <c r="R6" s="74">
        <v>1</v>
      </c>
      <c r="S6" s="74">
        <v>1</v>
      </c>
      <c r="T6" s="74">
        <v>1</v>
      </c>
      <c r="U6" s="74">
        <v>1</v>
      </c>
      <c r="V6" s="75">
        <v>1</v>
      </c>
    </row>
    <row r="7" spans="2:22" x14ac:dyDescent="0.55000000000000004">
      <c r="B7" s="73" t="s">
        <v>39</v>
      </c>
      <c r="C7" s="74">
        <v>1</v>
      </c>
      <c r="D7" s="74">
        <v>1</v>
      </c>
      <c r="E7" s="74">
        <v>1</v>
      </c>
      <c r="F7" s="74">
        <v>1</v>
      </c>
      <c r="G7" s="74">
        <v>1</v>
      </c>
      <c r="H7" s="74">
        <v>1</v>
      </c>
      <c r="I7" s="74">
        <v>1</v>
      </c>
      <c r="J7" s="74">
        <v>1</v>
      </c>
      <c r="K7" s="74">
        <v>1</v>
      </c>
      <c r="L7" s="74">
        <v>1</v>
      </c>
      <c r="M7" s="74">
        <v>1</v>
      </c>
      <c r="N7" s="74">
        <v>1</v>
      </c>
      <c r="O7" s="74">
        <v>1</v>
      </c>
      <c r="P7" s="74">
        <v>1</v>
      </c>
      <c r="Q7" s="74">
        <v>1</v>
      </c>
      <c r="R7" s="74">
        <v>1</v>
      </c>
      <c r="S7" s="74">
        <v>1</v>
      </c>
      <c r="T7" s="74">
        <v>1</v>
      </c>
      <c r="U7" s="74">
        <v>1</v>
      </c>
      <c r="V7" s="75">
        <v>1</v>
      </c>
    </row>
    <row r="8" spans="2:22" x14ac:dyDescent="0.55000000000000004">
      <c r="B8" s="73" t="s">
        <v>40</v>
      </c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1</v>
      </c>
      <c r="P8" s="74">
        <v>1</v>
      </c>
      <c r="Q8" s="74">
        <v>1</v>
      </c>
      <c r="R8" s="74">
        <v>1</v>
      </c>
      <c r="S8" s="74">
        <v>1</v>
      </c>
      <c r="T8" s="74">
        <v>1</v>
      </c>
      <c r="U8" s="74">
        <v>1</v>
      </c>
      <c r="V8" s="75">
        <v>1</v>
      </c>
    </row>
    <row r="9" spans="2:22" x14ac:dyDescent="0.55000000000000004">
      <c r="B9" s="73" t="s">
        <v>55</v>
      </c>
      <c r="C9" s="74">
        <v>1</v>
      </c>
      <c r="D9" s="74">
        <v>1</v>
      </c>
      <c r="E9" s="74">
        <v>1</v>
      </c>
      <c r="F9" s="74">
        <v>1</v>
      </c>
      <c r="G9" s="74">
        <v>1</v>
      </c>
      <c r="H9" s="74">
        <v>1</v>
      </c>
      <c r="I9" s="74">
        <v>1</v>
      </c>
      <c r="J9" s="74">
        <v>1</v>
      </c>
      <c r="K9" s="74">
        <v>1</v>
      </c>
      <c r="L9" s="74">
        <v>1</v>
      </c>
      <c r="M9" s="74">
        <v>1</v>
      </c>
      <c r="N9" s="74">
        <v>1</v>
      </c>
      <c r="O9" s="74">
        <v>1</v>
      </c>
      <c r="P9" s="74">
        <v>1</v>
      </c>
      <c r="Q9" s="74">
        <v>1</v>
      </c>
      <c r="R9" s="74">
        <v>1</v>
      </c>
      <c r="S9" s="74">
        <v>1</v>
      </c>
      <c r="T9" s="74">
        <v>1</v>
      </c>
      <c r="U9" s="74">
        <v>1</v>
      </c>
      <c r="V9" s="75">
        <v>1</v>
      </c>
    </row>
    <row r="10" spans="2:22" x14ac:dyDescent="0.55000000000000004">
      <c r="B10" s="73" t="s">
        <v>42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>
        <v>1</v>
      </c>
      <c r="P10" s="74">
        <v>1</v>
      </c>
      <c r="Q10" s="74">
        <v>1</v>
      </c>
      <c r="R10" s="74">
        <v>1</v>
      </c>
      <c r="S10" s="74">
        <v>1</v>
      </c>
      <c r="T10" s="74">
        <v>1</v>
      </c>
      <c r="U10" s="74">
        <v>1</v>
      </c>
      <c r="V10" s="75">
        <v>1</v>
      </c>
    </row>
    <row r="11" spans="2:22" x14ac:dyDescent="0.55000000000000004">
      <c r="B11" s="73" t="s">
        <v>43</v>
      </c>
      <c r="C11" s="74"/>
      <c r="D11" s="74">
        <v>1</v>
      </c>
      <c r="E11" s="74">
        <v>1</v>
      </c>
      <c r="F11" s="74">
        <v>1</v>
      </c>
      <c r="G11" s="74">
        <v>1</v>
      </c>
      <c r="H11" s="74">
        <v>1</v>
      </c>
      <c r="I11" s="74">
        <v>1</v>
      </c>
      <c r="J11" s="74">
        <v>1</v>
      </c>
      <c r="K11" s="74">
        <v>1</v>
      </c>
      <c r="L11" s="74">
        <v>1</v>
      </c>
      <c r="M11" s="74">
        <v>1</v>
      </c>
      <c r="N11" s="74">
        <v>1</v>
      </c>
      <c r="O11" s="74">
        <v>1</v>
      </c>
      <c r="P11" s="74">
        <v>2</v>
      </c>
      <c r="Q11" s="74">
        <v>2</v>
      </c>
      <c r="R11" s="74">
        <v>2</v>
      </c>
      <c r="S11" s="74">
        <v>2</v>
      </c>
      <c r="T11" s="74">
        <v>2</v>
      </c>
      <c r="U11" s="74">
        <v>2</v>
      </c>
      <c r="V11" s="75">
        <v>2</v>
      </c>
    </row>
    <row r="12" spans="2:22" x14ac:dyDescent="0.55000000000000004">
      <c r="B12" s="73" t="s">
        <v>44</v>
      </c>
      <c r="C12" s="74"/>
      <c r="D12" s="74"/>
      <c r="E12" s="74"/>
      <c r="F12" s="74"/>
      <c r="G12" s="74"/>
      <c r="H12" s="74">
        <v>1</v>
      </c>
      <c r="I12" s="74">
        <v>1</v>
      </c>
      <c r="J12" s="74">
        <v>1</v>
      </c>
      <c r="K12" s="74">
        <v>1</v>
      </c>
      <c r="L12" s="74">
        <v>1</v>
      </c>
      <c r="M12" s="74">
        <v>1</v>
      </c>
      <c r="N12" s="74">
        <v>1</v>
      </c>
      <c r="O12" s="74">
        <v>1</v>
      </c>
      <c r="P12" s="74">
        <v>2</v>
      </c>
      <c r="Q12" s="74">
        <v>2</v>
      </c>
      <c r="R12" s="74">
        <v>2</v>
      </c>
      <c r="S12" s="74">
        <v>2</v>
      </c>
      <c r="T12" s="74">
        <v>2</v>
      </c>
      <c r="U12" s="74">
        <v>2</v>
      </c>
      <c r="V12" s="75">
        <v>2</v>
      </c>
    </row>
    <row r="13" spans="2:22" x14ac:dyDescent="0.55000000000000004">
      <c r="B13" s="73" t="s">
        <v>45</v>
      </c>
      <c r="C13" s="74"/>
      <c r="D13" s="74"/>
      <c r="E13" s="74"/>
      <c r="F13" s="74"/>
      <c r="G13" s="74"/>
      <c r="H13" s="74"/>
      <c r="I13" s="74"/>
      <c r="J13" s="74"/>
      <c r="K13" s="74">
        <v>1</v>
      </c>
      <c r="L13" s="74">
        <v>1</v>
      </c>
      <c r="M13" s="74">
        <v>1</v>
      </c>
      <c r="N13" s="74">
        <v>1</v>
      </c>
      <c r="O13" s="74">
        <v>1</v>
      </c>
      <c r="P13" s="74">
        <v>1</v>
      </c>
      <c r="Q13" s="74">
        <v>1</v>
      </c>
      <c r="R13" s="74">
        <v>1</v>
      </c>
      <c r="S13" s="74">
        <v>1</v>
      </c>
      <c r="T13" s="74">
        <v>1</v>
      </c>
      <c r="U13" s="74">
        <v>1</v>
      </c>
      <c r="V13" s="75">
        <v>1</v>
      </c>
    </row>
    <row r="14" spans="2:22" x14ac:dyDescent="0.55000000000000004">
      <c r="B14" s="73" t="s">
        <v>46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1</v>
      </c>
      <c r="P14" s="74">
        <v>1</v>
      </c>
      <c r="Q14" s="74">
        <v>1</v>
      </c>
      <c r="R14" s="74">
        <v>1</v>
      </c>
      <c r="S14" s="74">
        <v>1</v>
      </c>
      <c r="T14" s="74">
        <v>1</v>
      </c>
      <c r="U14" s="74">
        <v>1</v>
      </c>
      <c r="V14" s="75">
        <v>1</v>
      </c>
    </row>
    <row r="15" spans="2:22" x14ac:dyDescent="0.55000000000000004">
      <c r="B15" s="73" t="s">
        <v>47</v>
      </c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>
        <v>1</v>
      </c>
      <c r="O15" s="74">
        <v>1</v>
      </c>
      <c r="P15" s="74">
        <v>1</v>
      </c>
      <c r="Q15" s="74">
        <v>1</v>
      </c>
      <c r="R15" s="74">
        <v>1</v>
      </c>
      <c r="S15" s="74">
        <v>1</v>
      </c>
      <c r="T15" s="74">
        <v>1</v>
      </c>
      <c r="U15" s="74">
        <v>1</v>
      </c>
      <c r="V15" s="75">
        <v>1</v>
      </c>
    </row>
    <row r="16" spans="2:22" x14ac:dyDescent="0.55000000000000004">
      <c r="B16" s="73" t="s">
        <v>41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>
        <v>1</v>
      </c>
      <c r="P16" s="74">
        <v>1</v>
      </c>
      <c r="Q16" s="74">
        <v>1</v>
      </c>
      <c r="R16" s="74">
        <v>1</v>
      </c>
      <c r="S16" s="74">
        <v>1</v>
      </c>
      <c r="T16" s="74">
        <v>1</v>
      </c>
      <c r="U16" s="74">
        <v>1</v>
      </c>
      <c r="V16" s="75">
        <v>1</v>
      </c>
    </row>
    <row r="17" spans="2:22" x14ac:dyDescent="0.55000000000000004">
      <c r="B17" s="73" t="s">
        <v>48</v>
      </c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>
        <v>1</v>
      </c>
      <c r="P17" s="74">
        <v>1</v>
      </c>
      <c r="Q17" s="74">
        <v>1</v>
      </c>
      <c r="R17" s="74">
        <v>1</v>
      </c>
      <c r="S17" s="74">
        <v>1</v>
      </c>
      <c r="T17" s="74">
        <v>1</v>
      </c>
      <c r="U17" s="74">
        <v>1</v>
      </c>
      <c r="V17" s="75">
        <v>1</v>
      </c>
    </row>
    <row r="18" spans="2:22" x14ac:dyDescent="0.55000000000000004">
      <c r="B18" s="73" t="s">
        <v>49</v>
      </c>
      <c r="C18" s="74"/>
      <c r="D18" s="74"/>
      <c r="E18" s="74"/>
      <c r="F18" s="74"/>
      <c r="G18" s="74"/>
      <c r="H18" s="74"/>
      <c r="I18" s="74"/>
      <c r="J18" s="74"/>
      <c r="K18" s="74">
        <v>1</v>
      </c>
      <c r="L18" s="74">
        <v>1</v>
      </c>
      <c r="M18" s="74">
        <v>1</v>
      </c>
      <c r="N18" s="74">
        <v>1</v>
      </c>
      <c r="O18" s="74">
        <v>1</v>
      </c>
      <c r="P18" s="74">
        <v>1</v>
      </c>
      <c r="Q18" s="74">
        <v>1</v>
      </c>
      <c r="R18" s="74">
        <v>1</v>
      </c>
      <c r="S18" s="74">
        <v>1</v>
      </c>
      <c r="T18" s="74">
        <v>1</v>
      </c>
      <c r="U18" s="74">
        <v>1</v>
      </c>
      <c r="V18" s="75">
        <v>1</v>
      </c>
    </row>
    <row r="19" spans="2:22" x14ac:dyDescent="0.55000000000000004">
      <c r="B19" s="73" t="s">
        <v>50</v>
      </c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>
        <v>1</v>
      </c>
      <c r="P19" s="74">
        <v>1</v>
      </c>
      <c r="Q19" s="74">
        <v>1</v>
      </c>
      <c r="R19" s="74">
        <v>1</v>
      </c>
      <c r="S19" s="74">
        <v>1</v>
      </c>
      <c r="T19" s="74">
        <v>1</v>
      </c>
      <c r="U19" s="74">
        <v>1</v>
      </c>
      <c r="V19" s="75">
        <v>1</v>
      </c>
    </row>
    <row r="20" spans="2:22" x14ac:dyDescent="0.55000000000000004">
      <c r="B20" s="73" t="s">
        <v>51</v>
      </c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5"/>
    </row>
    <row r="21" spans="2:22" x14ac:dyDescent="0.55000000000000004">
      <c r="B21" s="73" t="s">
        <v>53</v>
      </c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>
        <v>1</v>
      </c>
      <c r="T21" s="74">
        <v>1</v>
      </c>
      <c r="U21" s="74">
        <v>1</v>
      </c>
      <c r="V21" s="75">
        <v>1</v>
      </c>
    </row>
    <row r="22" spans="2:22" x14ac:dyDescent="0.55000000000000004">
      <c r="B22" s="76" t="s">
        <v>52</v>
      </c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8"/>
    </row>
    <row r="23" spans="2:22" ht="14.7" thickBot="1" x14ac:dyDescent="0.6">
      <c r="B23" s="69" t="s">
        <v>109</v>
      </c>
      <c r="C23" s="62">
        <f t="shared" ref="C23:V23" si="0">SUM(C4:C22)</f>
        <v>4</v>
      </c>
      <c r="D23" s="62">
        <f t="shared" si="0"/>
        <v>5</v>
      </c>
      <c r="E23" s="62">
        <f t="shared" si="0"/>
        <v>5</v>
      </c>
      <c r="F23" s="62">
        <f t="shared" si="0"/>
        <v>5</v>
      </c>
      <c r="G23" s="62">
        <f t="shared" si="0"/>
        <v>5</v>
      </c>
      <c r="H23" s="62">
        <f t="shared" si="0"/>
        <v>6</v>
      </c>
      <c r="I23" s="62">
        <f t="shared" si="0"/>
        <v>6</v>
      </c>
      <c r="J23" s="62">
        <f t="shared" si="0"/>
        <v>6</v>
      </c>
      <c r="K23" s="62">
        <f t="shared" si="0"/>
        <v>9</v>
      </c>
      <c r="L23" s="62">
        <f t="shared" si="0"/>
        <v>9</v>
      </c>
      <c r="M23" s="62">
        <f t="shared" si="0"/>
        <v>9</v>
      </c>
      <c r="N23" s="62">
        <f t="shared" si="0"/>
        <v>10</v>
      </c>
      <c r="O23" s="62">
        <f t="shared" si="0"/>
        <v>16</v>
      </c>
      <c r="P23" s="62">
        <f t="shared" si="0"/>
        <v>18</v>
      </c>
      <c r="Q23" s="62">
        <f t="shared" si="0"/>
        <v>18</v>
      </c>
      <c r="R23" s="62">
        <f t="shared" si="0"/>
        <v>18</v>
      </c>
      <c r="S23" s="62">
        <f t="shared" si="0"/>
        <v>19</v>
      </c>
      <c r="T23" s="62">
        <f t="shared" si="0"/>
        <v>19</v>
      </c>
      <c r="U23" s="62">
        <f t="shared" si="0"/>
        <v>19</v>
      </c>
      <c r="V23" s="68">
        <f t="shared" si="0"/>
        <v>19</v>
      </c>
    </row>
  </sheetData>
  <mergeCells count="5">
    <mergeCell ref="C2:F2"/>
    <mergeCell ref="G2:J2"/>
    <mergeCell ref="K2:N2"/>
    <mergeCell ref="O2:R2"/>
    <mergeCell ref="S2:V2"/>
  </mergeCells>
  <conditionalFormatting sqref="C4:V22">
    <cfRule type="colorScale" priority="2">
      <colorScale>
        <cfvo type="min"/>
        <cfvo type="max"/>
        <color theme="6" tint="0.59999389629810485"/>
        <color theme="6" tint="0.39997558519241921"/>
      </colorScale>
    </cfRule>
  </conditionalFormatting>
  <conditionalFormatting sqref="C4:V23">
    <cfRule type="cellIs" dxfId="0" priority="3" operator="greaterThan">
      <formula>0</formula>
    </cfRule>
  </conditionalFormatting>
  <conditionalFormatting sqref="C23:V23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B1:V26"/>
  <sheetViews>
    <sheetView showGridLines="0" topLeftCell="A10" zoomScale="70" zoomScaleNormal="70" workbookViewId="0">
      <selection activeCell="E31" sqref="E31"/>
    </sheetView>
  </sheetViews>
  <sheetFormatPr defaultRowHeight="14.4" x14ac:dyDescent="0.55000000000000004"/>
  <cols>
    <col min="1" max="1" width="8.83984375" style="21"/>
    <col min="2" max="2" width="23.05078125" style="21" bestFit="1" customWidth="1"/>
    <col min="3" max="22" width="13.578125" style="21" customWidth="1"/>
    <col min="23" max="16384" width="8.83984375" style="21"/>
  </cols>
  <sheetData>
    <row r="1" spans="2:22" ht="14.7" thickBot="1" x14ac:dyDescent="0.6"/>
    <row r="2" spans="2:22" x14ac:dyDescent="0.55000000000000004">
      <c r="B2" s="101"/>
      <c r="C2" s="179" t="str">
        <f>HRRampUp!C2</f>
        <v>Year 1</v>
      </c>
      <c r="D2" s="179"/>
      <c r="E2" s="179"/>
      <c r="F2" s="180"/>
      <c r="G2" s="181" t="str">
        <f>HRRampUp!G2</f>
        <v>Year 2</v>
      </c>
      <c r="H2" s="182"/>
      <c r="I2" s="182"/>
      <c r="J2" s="183"/>
      <c r="K2" s="184" t="str">
        <f>HRRampUp!K2</f>
        <v>Year 3</v>
      </c>
      <c r="L2" s="185"/>
      <c r="M2" s="185"/>
      <c r="N2" s="186"/>
      <c r="O2" s="187" t="str">
        <f>HRRampUp!O2</f>
        <v>Year 4</v>
      </c>
      <c r="P2" s="188"/>
      <c r="Q2" s="188"/>
      <c r="R2" s="189"/>
      <c r="S2" s="190" t="str">
        <f>HRRampUp!S2</f>
        <v>Year 5</v>
      </c>
      <c r="T2" s="191"/>
      <c r="U2" s="191"/>
      <c r="V2" s="192"/>
    </row>
    <row r="3" spans="2:22" x14ac:dyDescent="0.55000000000000004">
      <c r="B3" s="66"/>
      <c r="C3" s="87" t="str">
        <f>HRRampUp!C3</f>
        <v>Q1</v>
      </c>
      <c r="D3" s="87" t="str">
        <f>HRRampUp!D3</f>
        <v>Q2</v>
      </c>
      <c r="E3" s="87" t="str">
        <f>HRRampUp!E3</f>
        <v>Q3</v>
      </c>
      <c r="F3" s="99" t="str">
        <f>HRRampUp!F3</f>
        <v>Q4</v>
      </c>
      <c r="G3" s="88" t="str">
        <f>HRRampUp!G3</f>
        <v>Q1</v>
      </c>
      <c r="H3" s="88" t="str">
        <f>HRRampUp!H3</f>
        <v>Q2</v>
      </c>
      <c r="I3" s="88" t="str">
        <f>HRRampUp!I3</f>
        <v>Q3</v>
      </c>
      <c r="J3" s="98" t="str">
        <f>HRRampUp!J3</f>
        <v>Q4</v>
      </c>
      <c r="K3" s="89" t="str">
        <f>HRRampUp!K3</f>
        <v>Q1</v>
      </c>
      <c r="L3" s="89" t="str">
        <f>HRRampUp!L3</f>
        <v>Q2</v>
      </c>
      <c r="M3" s="89" t="str">
        <f>HRRampUp!M3</f>
        <v>Q3</v>
      </c>
      <c r="N3" s="93" t="str">
        <f>HRRampUp!N3</f>
        <v>Q4</v>
      </c>
      <c r="O3" s="90" t="str">
        <f>HRRampUp!O3</f>
        <v>Q1</v>
      </c>
      <c r="P3" s="90" t="str">
        <f>HRRampUp!P3</f>
        <v>Q2</v>
      </c>
      <c r="Q3" s="90" t="str">
        <f>HRRampUp!Q3</f>
        <v>Q3</v>
      </c>
      <c r="R3" s="100" t="str">
        <f>HRRampUp!R3</f>
        <v>Q4</v>
      </c>
      <c r="S3" s="91" t="str">
        <f>HRRampUp!S3</f>
        <v>Q1</v>
      </c>
      <c r="T3" s="91" t="str">
        <f>HRRampUp!T3</f>
        <v>Q2</v>
      </c>
      <c r="U3" s="91" t="str">
        <f>HRRampUp!U3</f>
        <v>Q3</v>
      </c>
      <c r="V3" s="92" t="str">
        <f>HRRampUp!V3</f>
        <v>Q4</v>
      </c>
    </row>
    <row r="4" spans="2:22" x14ac:dyDescent="0.55000000000000004">
      <c r="B4" s="102" t="s">
        <v>6</v>
      </c>
      <c r="C4" s="79">
        <v>2000</v>
      </c>
      <c r="D4" s="79">
        <v>1000</v>
      </c>
      <c r="E4" s="79">
        <v>1000</v>
      </c>
      <c r="F4" s="94">
        <v>1000</v>
      </c>
      <c r="G4" s="79">
        <v>1000</v>
      </c>
      <c r="H4" s="79">
        <v>1000</v>
      </c>
      <c r="I4" s="79">
        <v>1000</v>
      </c>
      <c r="J4" s="94">
        <v>1000</v>
      </c>
      <c r="K4" s="79">
        <v>1000</v>
      </c>
      <c r="L4" s="79">
        <v>1000</v>
      </c>
      <c r="M4" s="79">
        <v>1000</v>
      </c>
      <c r="N4" s="94">
        <v>1000</v>
      </c>
      <c r="O4" s="79">
        <v>1000</v>
      </c>
      <c r="P4" s="79">
        <v>1000</v>
      </c>
      <c r="Q4" s="79">
        <v>1000</v>
      </c>
      <c r="R4" s="94">
        <v>2000</v>
      </c>
      <c r="S4" s="79">
        <v>2000</v>
      </c>
      <c r="T4" s="79">
        <v>2000</v>
      </c>
      <c r="U4" s="79">
        <v>2000</v>
      </c>
      <c r="V4" s="83">
        <v>2000</v>
      </c>
    </row>
    <row r="5" spans="2:22" x14ac:dyDescent="0.55000000000000004">
      <c r="B5" s="103" t="s">
        <v>7</v>
      </c>
      <c r="C5" s="80">
        <f>500*3</f>
        <v>1500</v>
      </c>
      <c r="D5" s="80">
        <f t="shared" ref="D5:V5" si="0">500*3</f>
        <v>1500</v>
      </c>
      <c r="E5" s="80">
        <f t="shared" si="0"/>
        <v>1500</v>
      </c>
      <c r="F5" s="95">
        <f t="shared" si="0"/>
        <v>1500</v>
      </c>
      <c r="G5" s="80">
        <f t="shared" si="0"/>
        <v>1500</v>
      </c>
      <c r="H5" s="80">
        <f t="shared" si="0"/>
        <v>1500</v>
      </c>
      <c r="I5" s="80">
        <f t="shared" si="0"/>
        <v>1500</v>
      </c>
      <c r="J5" s="95">
        <f t="shared" si="0"/>
        <v>1500</v>
      </c>
      <c r="K5" s="80">
        <f t="shared" si="0"/>
        <v>1500</v>
      </c>
      <c r="L5" s="80">
        <f t="shared" si="0"/>
        <v>1500</v>
      </c>
      <c r="M5" s="80">
        <f t="shared" si="0"/>
        <v>1500</v>
      </c>
      <c r="N5" s="95">
        <f t="shared" si="0"/>
        <v>1500</v>
      </c>
      <c r="O5" s="80">
        <f t="shared" si="0"/>
        <v>1500</v>
      </c>
      <c r="P5" s="80">
        <f t="shared" si="0"/>
        <v>1500</v>
      </c>
      <c r="Q5" s="80">
        <f t="shared" si="0"/>
        <v>1500</v>
      </c>
      <c r="R5" s="95">
        <f t="shared" si="0"/>
        <v>1500</v>
      </c>
      <c r="S5" s="80">
        <f t="shared" si="0"/>
        <v>1500</v>
      </c>
      <c r="T5" s="80">
        <f t="shared" si="0"/>
        <v>1500</v>
      </c>
      <c r="U5" s="80">
        <f t="shared" si="0"/>
        <v>1500</v>
      </c>
      <c r="V5" s="84">
        <f t="shared" si="0"/>
        <v>1500</v>
      </c>
    </row>
    <row r="6" spans="2:22" x14ac:dyDescent="0.55000000000000004">
      <c r="B6" s="103" t="s">
        <v>97</v>
      </c>
      <c r="C6" s="80">
        <f>200*3</f>
        <v>600</v>
      </c>
      <c r="D6" s="80">
        <f t="shared" ref="D6:V8" si="1">200*3</f>
        <v>600</v>
      </c>
      <c r="E6" s="80">
        <f t="shared" si="1"/>
        <v>600</v>
      </c>
      <c r="F6" s="95">
        <f t="shared" si="1"/>
        <v>600</v>
      </c>
      <c r="G6" s="80">
        <f t="shared" si="1"/>
        <v>600</v>
      </c>
      <c r="H6" s="80">
        <f t="shared" si="1"/>
        <v>600</v>
      </c>
      <c r="I6" s="80">
        <f t="shared" si="1"/>
        <v>600</v>
      </c>
      <c r="J6" s="95">
        <f t="shared" si="1"/>
        <v>600</v>
      </c>
      <c r="K6" s="80">
        <f t="shared" si="1"/>
        <v>600</v>
      </c>
      <c r="L6" s="80">
        <f t="shared" si="1"/>
        <v>600</v>
      </c>
      <c r="M6" s="80">
        <f t="shared" si="1"/>
        <v>600</v>
      </c>
      <c r="N6" s="95">
        <f t="shared" si="1"/>
        <v>600</v>
      </c>
      <c r="O6" s="80">
        <f t="shared" si="1"/>
        <v>600</v>
      </c>
      <c r="P6" s="80">
        <f t="shared" si="1"/>
        <v>600</v>
      </c>
      <c r="Q6" s="80">
        <f t="shared" si="1"/>
        <v>600</v>
      </c>
      <c r="R6" s="95">
        <f>200*3</f>
        <v>600</v>
      </c>
      <c r="S6" s="80">
        <f t="shared" si="1"/>
        <v>600</v>
      </c>
      <c r="T6" s="80">
        <f t="shared" si="1"/>
        <v>600</v>
      </c>
      <c r="U6" s="80">
        <f t="shared" si="1"/>
        <v>600</v>
      </c>
      <c r="V6" s="84">
        <f t="shared" si="1"/>
        <v>600</v>
      </c>
    </row>
    <row r="7" spans="2:22" x14ac:dyDescent="0.55000000000000004">
      <c r="B7" s="103" t="s">
        <v>8</v>
      </c>
      <c r="C7" s="80">
        <f>200*3</f>
        <v>600</v>
      </c>
      <c r="D7" s="80">
        <f t="shared" si="1"/>
        <v>600</v>
      </c>
      <c r="E7" s="80">
        <f t="shared" si="1"/>
        <v>600</v>
      </c>
      <c r="F7" s="95">
        <f t="shared" si="1"/>
        <v>600</v>
      </c>
      <c r="G7" s="80">
        <f t="shared" si="1"/>
        <v>600</v>
      </c>
      <c r="H7" s="80">
        <f t="shared" si="1"/>
        <v>600</v>
      </c>
      <c r="I7" s="80">
        <f t="shared" si="1"/>
        <v>600</v>
      </c>
      <c r="J7" s="95">
        <f t="shared" si="1"/>
        <v>600</v>
      </c>
      <c r="K7" s="80">
        <f t="shared" si="1"/>
        <v>600</v>
      </c>
      <c r="L7" s="80">
        <f t="shared" si="1"/>
        <v>600</v>
      </c>
      <c r="M7" s="80">
        <f t="shared" si="1"/>
        <v>600</v>
      </c>
      <c r="N7" s="95">
        <f t="shared" si="1"/>
        <v>600</v>
      </c>
      <c r="O7" s="80">
        <f t="shared" si="1"/>
        <v>600</v>
      </c>
      <c r="P7" s="80">
        <f t="shared" si="1"/>
        <v>600</v>
      </c>
      <c r="Q7" s="80">
        <f t="shared" si="1"/>
        <v>600</v>
      </c>
      <c r="R7" s="95">
        <f t="shared" si="1"/>
        <v>600</v>
      </c>
      <c r="S7" s="80">
        <f t="shared" si="1"/>
        <v>600</v>
      </c>
      <c r="T7" s="80">
        <f t="shared" si="1"/>
        <v>600</v>
      </c>
      <c r="U7" s="80">
        <f t="shared" si="1"/>
        <v>600</v>
      </c>
      <c r="V7" s="84">
        <f t="shared" si="1"/>
        <v>600</v>
      </c>
    </row>
    <row r="8" spans="2:22" x14ac:dyDescent="0.55000000000000004">
      <c r="B8" s="103" t="s">
        <v>9</v>
      </c>
      <c r="C8" s="80">
        <f>200*3</f>
        <v>600</v>
      </c>
      <c r="D8" s="80">
        <f t="shared" si="1"/>
        <v>600</v>
      </c>
      <c r="E8" s="80">
        <f t="shared" si="1"/>
        <v>600</v>
      </c>
      <c r="F8" s="95">
        <f t="shared" si="1"/>
        <v>600</v>
      </c>
      <c r="G8" s="80">
        <f t="shared" si="1"/>
        <v>600</v>
      </c>
      <c r="H8" s="80">
        <f t="shared" si="1"/>
        <v>600</v>
      </c>
      <c r="I8" s="80">
        <f t="shared" si="1"/>
        <v>600</v>
      </c>
      <c r="J8" s="95">
        <f t="shared" si="1"/>
        <v>600</v>
      </c>
      <c r="K8" s="80">
        <f t="shared" si="1"/>
        <v>600</v>
      </c>
      <c r="L8" s="80">
        <f t="shared" si="1"/>
        <v>600</v>
      </c>
      <c r="M8" s="80">
        <f t="shared" si="1"/>
        <v>600</v>
      </c>
      <c r="N8" s="95">
        <f t="shared" si="1"/>
        <v>600</v>
      </c>
      <c r="O8" s="80">
        <f>400*3</f>
        <v>1200</v>
      </c>
      <c r="P8" s="80">
        <f t="shared" ref="P8:V8" si="2">400*3</f>
        <v>1200</v>
      </c>
      <c r="Q8" s="80">
        <f t="shared" si="2"/>
        <v>1200</v>
      </c>
      <c r="R8" s="95">
        <f t="shared" si="2"/>
        <v>1200</v>
      </c>
      <c r="S8" s="80">
        <f t="shared" si="2"/>
        <v>1200</v>
      </c>
      <c r="T8" s="80">
        <f t="shared" si="2"/>
        <v>1200</v>
      </c>
      <c r="U8" s="80">
        <f t="shared" si="2"/>
        <v>1200</v>
      </c>
      <c r="V8" s="84">
        <f t="shared" si="2"/>
        <v>1200</v>
      </c>
    </row>
    <row r="9" spans="2:22" x14ac:dyDescent="0.55000000000000004">
      <c r="B9" s="103" t="s">
        <v>10</v>
      </c>
      <c r="C9" s="80">
        <f>PayrollCost_Raw!B22*0.16</f>
        <v>9800</v>
      </c>
      <c r="D9" s="80">
        <f>PayrollCost_Raw!C22*0.16</f>
        <v>11400</v>
      </c>
      <c r="E9" s="80">
        <f>PayrollCost_Raw!D22*0.16</f>
        <v>11400</v>
      </c>
      <c r="F9" s="95">
        <f>PayrollCost_Raw!E22*0.16</f>
        <v>11400</v>
      </c>
      <c r="G9" s="80">
        <f>PayrollCost_Raw!F22*0.16</f>
        <v>11400</v>
      </c>
      <c r="H9" s="80">
        <f>PayrollCost_Raw!G22*0.16</f>
        <v>12200</v>
      </c>
      <c r="I9" s="80">
        <f>PayrollCost_Raw!H22*0.16</f>
        <v>12200</v>
      </c>
      <c r="J9" s="95">
        <f>PayrollCost_Raw!I22*0.16</f>
        <v>12200</v>
      </c>
      <c r="K9" s="80">
        <f>PayrollCost_Raw!J22*0.16</f>
        <v>20200</v>
      </c>
      <c r="L9" s="80">
        <f>PayrollCost_Raw!K22*0.16</f>
        <v>20200</v>
      </c>
      <c r="M9" s="80">
        <f>PayrollCost_Raw!L22*0.16</f>
        <v>20200</v>
      </c>
      <c r="N9" s="95">
        <f>PayrollCost_Raw!M22*0.16</f>
        <v>21400</v>
      </c>
      <c r="O9" s="80">
        <f>PayrollCost_Raw!N22*0.16</f>
        <v>37600</v>
      </c>
      <c r="P9" s="80">
        <f>PayrollCost_Raw!O22*0.16</f>
        <v>40000</v>
      </c>
      <c r="Q9" s="80">
        <f>PayrollCost_Raw!P22*0.16</f>
        <v>40000</v>
      </c>
      <c r="R9" s="95">
        <f>PayrollCost_Raw!Q22*0.16</f>
        <v>40000</v>
      </c>
      <c r="S9" s="80">
        <f>PayrollCost_Raw!R22*0.16</f>
        <v>43200</v>
      </c>
      <c r="T9" s="80">
        <f>PayrollCost_Raw!S22*0.16</f>
        <v>43200</v>
      </c>
      <c r="U9" s="80">
        <f>PayrollCost_Raw!T22*0.16</f>
        <v>43200</v>
      </c>
      <c r="V9" s="84">
        <f>PayrollCost_Raw!U22*0.16</f>
        <v>43200</v>
      </c>
    </row>
    <row r="10" spans="2:22" x14ac:dyDescent="0.55000000000000004">
      <c r="B10" s="103" t="s">
        <v>3</v>
      </c>
      <c r="C10" s="80">
        <v>0</v>
      </c>
      <c r="D10" s="80">
        <v>0</v>
      </c>
      <c r="E10" s="80">
        <v>0</v>
      </c>
      <c r="F10" s="95">
        <v>0</v>
      </c>
      <c r="G10" s="80">
        <v>0</v>
      </c>
      <c r="H10" s="80">
        <v>0</v>
      </c>
      <c r="I10" s="80">
        <v>0</v>
      </c>
      <c r="J10" s="95">
        <v>0</v>
      </c>
      <c r="K10" s="80">
        <v>0</v>
      </c>
      <c r="L10" s="80">
        <v>0</v>
      </c>
      <c r="M10" s="80">
        <v>0</v>
      </c>
      <c r="N10" s="95">
        <v>0</v>
      </c>
      <c r="O10" s="80">
        <f>20000*3</f>
        <v>60000</v>
      </c>
      <c r="P10" s="80">
        <f t="shared" ref="P10:V10" si="3">20000*3</f>
        <v>60000</v>
      </c>
      <c r="Q10" s="80">
        <f t="shared" si="3"/>
        <v>60000</v>
      </c>
      <c r="R10" s="95">
        <f t="shared" si="3"/>
        <v>60000</v>
      </c>
      <c r="S10" s="80">
        <f t="shared" si="3"/>
        <v>60000</v>
      </c>
      <c r="T10" s="80">
        <f t="shared" si="3"/>
        <v>60000</v>
      </c>
      <c r="U10" s="80">
        <f t="shared" si="3"/>
        <v>60000</v>
      </c>
      <c r="V10" s="84">
        <f t="shared" si="3"/>
        <v>60000</v>
      </c>
    </row>
    <row r="11" spans="2:22" x14ac:dyDescent="0.55000000000000004">
      <c r="B11" s="103" t="s">
        <v>11</v>
      </c>
      <c r="C11" s="80">
        <f>200*3</f>
        <v>600</v>
      </c>
      <c r="D11" s="80">
        <f t="shared" ref="D11:J11" si="4">200*3</f>
        <v>600</v>
      </c>
      <c r="E11" s="80">
        <f t="shared" si="4"/>
        <v>600</v>
      </c>
      <c r="F11" s="95">
        <f t="shared" si="4"/>
        <v>600</v>
      </c>
      <c r="G11" s="80">
        <f t="shared" si="4"/>
        <v>600</v>
      </c>
      <c r="H11" s="80">
        <f t="shared" si="4"/>
        <v>600</v>
      </c>
      <c r="I11" s="80">
        <f t="shared" si="4"/>
        <v>600</v>
      </c>
      <c r="J11" s="95">
        <f t="shared" si="4"/>
        <v>600</v>
      </c>
      <c r="K11" s="80">
        <f>300*3</f>
        <v>900</v>
      </c>
      <c r="L11" s="80">
        <f t="shared" ref="L11:N11" si="5">300*3</f>
        <v>900</v>
      </c>
      <c r="M11" s="80">
        <f t="shared" si="5"/>
        <v>900</v>
      </c>
      <c r="N11" s="95">
        <f t="shared" si="5"/>
        <v>900</v>
      </c>
      <c r="O11" s="80">
        <f>400*3</f>
        <v>1200</v>
      </c>
      <c r="P11" s="80">
        <f t="shared" ref="P11:R11" si="6">400*3</f>
        <v>1200</v>
      </c>
      <c r="Q11" s="80">
        <f t="shared" si="6"/>
        <v>1200</v>
      </c>
      <c r="R11" s="95">
        <f t="shared" si="6"/>
        <v>1200</v>
      </c>
      <c r="S11" s="80">
        <f>500*3</f>
        <v>1500</v>
      </c>
      <c r="T11" s="80">
        <f t="shared" ref="T11:V11" si="7">500*3</f>
        <v>1500</v>
      </c>
      <c r="U11" s="80">
        <f t="shared" si="7"/>
        <v>1500</v>
      </c>
      <c r="V11" s="84">
        <f t="shared" si="7"/>
        <v>1500</v>
      </c>
    </row>
    <row r="12" spans="2:22" x14ac:dyDescent="0.55000000000000004">
      <c r="B12" s="103" t="s">
        <v>12</v>
      </c>
      <c r="C12" s="80">
        <f>PayrollCost_Raw!B22</f>
        <v>61250</v>
      </c>
      <c r="D12" s="80">
        <f>PayrollCost_Raw!C22</f>
        <v>71250</v>
      </c>
      <c r="E12" s="80">
        <f>PayrollCost_Raw!D22</f>
        <v>71250</v>
      </c>
      <c r="F12" s="95">
        <f>PayrollCost_Raw!E22</f>
        <v>71250</v>
      </c>
      <c r="G12" s="80">
        <f>PayrollCost_Raw!F22</f>
        <v>71250</v>
      </c>
      <c r="H12" s="80">
        <f>PayrollCost_Raw!G22</f>
        <v>76250</v>
      </c>
      <c r="I12" s="80">
        <f>PayrollCost_Raw!H22</f>
        <v>76250</v>
      </c>
      <c r="J12" s="95">
        <f>PayrollCost_Raw!I22</f>
        <v>76250</v>
      </c>
      <c r="K12" s="80">
        <f>PayrollCost_Raw!J22</f>
        <v>126250</v>
      </c>
      <c r="L12" s="80">
        <f>PayrollCost_Raw!K22</f>
        <v>126250</v>
      </c>
      <c r="M12" s="80">
        <f>PayrollCost_Raw!L22</f>
        <v>126250</v>
      </c>
      <c r="N12" s="95">
        <f>PayrollCost_Raw!M22</f>
        <v>133750</v>
      </c>
      <c r="O12" s="80">
        <f>PayrollCost_Raw!N22</f>
        <v>235000</v>
      </c>
      <c r="P12" s="80">
        <f>PayrollCost_Raw!O22</f>
        <v>250000</v>
      </c>
      <c r="Q12" s="80">
        <f>PayrollCost_Raw!P22</f>
        <v>250000</v>
      </c>
      <c r="R12" s="95">
        <f>PayrollCost_Raw!Q22</f>
        <v>250000</v>
      </c>
      <c r="S12" s="80">
        <f>PayrollCost_Raw!R22</f>
        <v>270000</v>
      </c>
      <c r="T12" s="80">
        <f>PayrollCost_Raw!S22</f>
        <v>270000</v>
      </c>
      <c r="U12" s="80">
        <f>PayrollCost_Raw!T22</f>
        <v>270000</v>
      </c>
      <c r="V12" s="84">
        <f>PayrollCost_Raw!U22</f>
        <v>270000</v>
      </c>
    </row>
    <row r="13" spans="2:22" x14ac:dyDescent="0.55000000000000004">
      <c r="B13" s="103" t="s">
        <v>13</v>
      </c>
      <c r="C13" s="80"/>
      <c r="D13" s="80"/>
      <c r="E13" s="80"/>
      <c r="F13" s="95"/>
      <c r="G13" s="80"/>
      <c r="H13" s="80"/>
      <c r="I13" s="80"/>
      <c r="J13" s="95"/>
      <c r="K13" s="80"/>
      <c r="L13" s="80"/>
      <c r="M13" s="80"/>
      <c r="N13" s="95"/>
      <c r="O13" s="80"/>
      <c r="P13" s="80"/>
      <c r="Q13" s="80"/>
      <c r="R13" s="95"/>
      <c r="S13" s="80"/>
      <c r="T13" s="80"/>
      <c r="U13" s="80"/>
      <c r="V13" s="84"/>
    </row>
    <row r="14" spans="2:22" x14ac:dyDescent="0.55000000000000004">
      <c r="B14" s="103" t="s">
        <v>14</v>
      </c>
      <c r="C14" s="80">
        <f>100*3</f>
        <v>300</v>
      </c>
      <c r="D14" s="80">
        <f t="shared" ref="D14:N14" si="8">100*3</f>
        <v>300</v>
      </c>
      <c r="E14" s="80">
        <f t="shared" si="8"/>
        <v>300</v>
      </c>
      <c r="F14" s="95">
        <f t="shared" si="8"/>
        <v>300</v>
      </c>
      <c r="G14" s="80">
        <f t="shared" si="8"/>
        <v>300</v>
      </c>
      <c r="H14" s="80">
        <f t="shared" si="8"/>
        <v>300</v>
      </c>
      <c r="I14" s="80">
        <f t="shared" si="8"/>
        <v>300</v>
      </c>
      <c r="J14" s="95">
        <f t="shared" si="8"/>
        <v>300</v>
      </c>
      <c r="K14" s="80">
        <f t="shared" si="8"/>
        <v>300</v>
      </c>
      <c r="L14" s="80">
        <f t="shared" si="8"/>
        <v>300</v>
      </c>
      <c r="M14" s="80">
        <f t="shared" si="8"/>
        <v>300</v>
      </c>
      <c r="N14" s="95">
        <f t="shared" si="8"/>
        <v>300</v>
      </c>
      <c r="O14" s="80">
        <f>300*3</f>
        <v>900</v>
      </c>
      <c r="P14" s="80">
        <f t="shared" ref="P14:V14" si="9">300*3</f>
        <v>900</v>
      </c>
      <c r="Q14" s="80">
        <f t="shared" si="9"/>
        <v>900</v>
      </c>
      <c r="R14" s="95">
        <f t="shared" si="9"/>
        <v>900</v>
      </c>
      <c r="S14" s="80">
        <f t="shared" si="9"/>
        <v>900</v>
      </c>
      <c r="T14" s="80">
        <f t="shared" si="9"/>
        <v>900</v>
      </c>
      <c r="U14" s="80">
        <f t="shared" si="9"/>
        <v>900</v>
      </c>
      <c r="V14" s="84">
        <f t="shared" si="9"/>
        <v>900</v>
      </c>
    </row>
    <row r="15" spans="2:22" x14ac:dyDescent="0.55000000000000004">
      <c r="B15" s="103" t="s">
        <v>98</v>
      </c>
      <c r="C15" s="80">
        <v>250</v>
      </c>
      <c r="D15" s="80">
        <v>250</v>
      </c>
      <c r="E15" s="80">
        <v>250</v>
      </c>
      <c r="F15" s="95">
        <v>250</v>
      </c>
      <c r="G15" s="80">
        <v>250</v>
      </c>
      <c r="H15" s="80">
        <v>250</v>
      </c>
      <c r="I15" s="80">
        <v>250</v>
      </c>
      <c r="J15" s="95">
        <v>250</v>
      </c>
      <c r="K15" s="80">
        <v>250</v>
      </c>
      <c r="L15" s="80">
        <v>250</v>
      </c>
      <c r="M15" s="80">
        <v>250</v>
      </c>
      <c r="N15" s="95">
        <v>250</v>
      </c>
      <c r="O15" s="80">
        <v>250</v>
      </c>
      <c r="P15" s="80">
        <v>250</v>
      </c>
      <c r="Q15" s="80">
        <v>250</v>
      </c>
      <c r="R15" s="95">
        <v>250</v>
      </c>
      <c r="S15" s="80">
        <v>250</v>
      </c>
      <c r="T15" s="80">
        <v>250</v>
      </c>
      <c r="U15" s="80">
        <v>250</v>
      </c>
      <c r="V15" s="84">
        <v>250</v>
      </c>
    </row>
    <row r="16" spans="2:22" x14ac:dyDescent="0.55000000000000004">
      <c r="B16" s="103" t="s">
        <v>15</v>
      </c>
      <c r="C16" s="80">
        <f>30+100*3</f>
        <v>330</v>
      </c>
      <c r="D16" s="80">
        <f>100*3</f>
        <v>300</v>
      </c>
      <c r="E16" s="80">
        <f t="shared" ref="E16:V16" si="10">100*3</f>
        <v>300</v>
      </c>
      <c r="F16" s="95">
        <f t="shared" si="10"/>
        <v>300</v>
      </c>
      <c r="G16" s="80">
        <f t="shared" si="10"/>
        <v>300</v>
      </c>
      <c r="H16" s="80">
        <f t="shared" si="10"/>
        <v>300</v>
      </c>
      <c r="I16" s="80">
        <f t="shared" si="10"/>
        <v>300</v>
      </c>
      <c r="J16" s="95">
        <f t="shared" si="10"/>
        <v>300</v>
      </c>
      <c r="K16" s="80">
        <f t="shared" si="10"/>
        <v>300</v>
      </c>
      <c r="L16" s="80">
        <f t="shared" si="10"/>
        <v>300</v>
      </c>
      <c r="M16" s="80">
        <f t="shared" si="10"/>
        <v>300</v>
      </c>
      <c r="N16" s="95">
        <f t="shared" si="10"/>
        <v>300</v>
      </c>
      <c r="O16" s="80">
        <f t="shared" si="10"/>
        <v>300</v>
      </c>
      <c r="P16" s="80">
        <f t="shared" si="10"/>
        <v>300</v>
      </c>
      <c r="Q16" s="80">
        <f t="shared" si="10"/>
        <v>300</v>
      </c>
      <c r="R16" s="95">
        <f t="shared" si="10"/>
        <v>300</v>
      </c>
      <c r="S16" s="80">
        <f t="shared" si="10"/>
        <v>300</v>
      </c>
      <c r="T16" s="80">
        <f t="shared" si="10"/>
        <v>300</v>
      </c>
      <c r="U16" s="80">
        <f t="shared" si="10"/>
        <v>300</v>
      </c>
      <c r="V16" s="84">
        <f t="shared" si="10"/>
        <v>300</v>
      </c>
    </row>
    <row r="17" spans="2:22" x14ac:dyDescent="0.55000000000000004">
      <c r="B17" s="103" t="s">
        <v>99</v>
      </c>
      <c r="C17" s="80"/>
      <c r="D17" s="80">
        <f>DevCost_Raw!B3+8000</f>
        <v>26215</v>
      </c>
      <c r="E17" s="80"/>
      <c r="F17" s="95"/>
      <c r="G17" s="80">
        <f>DevCost_Raw!C3+8000</f>
        <v>26215</v>
      </c>
      <c r="H17" s="80"/>
      <c r="I17" s="80"/>
      <c r="J17" s="95"/>
      <c r="K17" s="80">
        <f>DevCost_Raw!D3+8000</f>
        <v>44430</v>
      </c>
      <c r="L17" s="80"/>
      <c r="M17" s="80"/>
      <c r="N17" s="95"/>
      <c r="O17" s="80">
        <f>DevCost_Raw!E3+8000</f>
        <v>87943</v>
      </c>
      <c r="P17" s="80"/>
      <c r="Q17" s="80"/>
      <c r="R17" s="95"/>
      <c r="S17" s="80">
        <f>DevCost_Raw!F3+8000</f>
        <v>110142</v>
      </c>
      <c r="T17" s="80"/>
      <c r="U17" s="80"/>
      <c r="V17" s="84"/>
    </row>
    <row r="18" spans="2:22" x14ac:dyDescent="0.55000000000000004">
      <c r="B18" s="104" t="s">
        <v>100</v>
      </c>
      <c r="C18" s="81"/>
      <c r="D18" s="81"/>
      <c r="E18" s="81"/>
      <c r="F18" s="96">
        <f>DigitalMarketingCost_Raw!B2</f>
        <v>426000</v>
      </c>
      <c r="G18" s="81"/>
      <c r="H18" s="81"/>
      <c r="I18" s="81"/>
      <c r="J18" s="96">
        <f>DigitalMarketingCost_Raw!C2</f>
        <v>553800</v>
      </c>
      <c r="K18" s="81"/>
      <c r="L18" s="81"/>
      <c r="M18" s="81"/>
      <c r="N18" s="96">
        <f>DigitalMarketingCost_Raw!D2</f>
        <v>719940</v>
      </c>
      <c r="O18" s="81"/>
      <c r="P18" s="81"/>
      <c r="Q18" s="81"/>
      <c r="R18" s="96">
        <f>DigitalMarketingCost_Raw!E2</f>
        <v>935922</v>
      </c>
      <c r="S18" s="81"/>
      <c r="T18" s="81"/>
      <c r="U18" s="81"/>
      <c r="V18" s="85">
        <f>DigitalMarketingCost_Raw!F2</f>
        <v>1216698.6000000001</v>
      </c>
    </row>
    <row r="19" spans="2:22" ht="14.7" thickBot="1" x14ac:dyDescent="0.6">
      <c r="B19" s="105" t="s">
        <v>110</v>
      </c>
      <c r="C19" s="82">
        <f t="shared" ref="C19:V19" si="11">SUM(C4:C18)</f>
        <v>77830</v>
      </c>
      <c r="D19" s="82">
        <f t="shared" si="11"/>
        <v>114615</v>
      </c>
      <c r="E19" s="82">
        <f t="shared" si="11"/>
        <v>88400</v>
      </c>
      <c r="F19" s="97">
        <f t="shared" si="11"/>
        <v>514400</v>
      </c>
      <c r="G19" s="82">
        <f t="shared" si="11"/>
        <v>114615</v>
      </c>
      <c r="H19" s="82">
        <f t="shared" si="11"/>
        <v>94200</v>
      </c>
      <c r="I19" s="82">
        <f t="shared" si="11"/>
        <v>94200</v>
      </c>
      <c r="J19" s="97">
        <f t="shared" si="11"/>
        <v>648000</v>
      </c>
      <c r="K19" s="82">
        <f t="shared" si="11"/>
        <v>196930</v>
      </c>
      <c r="L19" s="82">
        <f t="shared" si="11"/>
        <v>152500</v>
      </c>
      <c r="M19" s="82">
        <f t="shared" si="11"/>
        <v>152500</v>
      </c>
      <c r="N19" s="97">
        <f t="shared" si="11"/>
        <v>881140</v>
      </c>
      <c r="O19" s="82">
        <f t="shared" si="11"/>
        <v>428093</v>
      </c>
      <c r="P19" s="82">
        <f t="shared" si="11"/>
        <v>357550</v>
      </c>
      <c r="Q19" s="82">
        <f t="shared" si="11"/>
        <v>357550</v>
      </c>
      <c r="R19" s="97">
        <f t="shared" si="11"/>
        <v>1294472</v>
      </c>
      <c r="S19" s="82">
        <f t="shared" si="11"/>
        <v>492192</v>
      </c>
      <c r="T19" s="82">
        <f t="shared" si="11"/>
        <v>382050</v>
      </c>
      <c r="U19" s="82">
        <f t="shared" si="11"/>
        <v>382050</v>
      </c>
      <c r="V19" s="86">
        <f t="shared" si="11"/>
        <v>1598748.6</v>
      </c>
    </row>
    <row r="20" spans="2:22" x14ac:dyDescent="0.55000000000000004"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</row>
    <row r="21" spans="2:22" x14ac:dyDescent="0.55000000000000004"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 spans="2:22" x14ac:dyDescent="0.55000000000000004"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</row>
    <row r="23" spans="2:22" x14ac:dyDescent="0.55000000000000004"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</row>
    <row r="24" spans="2:22" x14ac:dyDescent="0.55000000000000004">
      <c r="G24" s="1"/>
    </row>
    <row r="26" spans="2:22" x14ac:dyDescent="0.55000000000000004">
      <c r="F26" s="1"/>
    </row>
  </sheetData>
  <mergeCells count="5">
    <mergeCell ref="C2:F2"/>
    <mergeCell ref="G2:J2"/>
    <mergeCell ref="K2:N2"/>
    <mergeCell ref="O2:R2"/>
    <mergeCell ref="S2:V2"/>
  </mergeCells>
  <conditionalFormatting sqref="C19:V19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B1:V28"/>
  <sheetViews>
    <sheetView showGridLines="0" topLeftCell="D1" zoomScale="65" zoomScaleNormal="70" workbookViewId="0">
      <selection activeCell="F44" sqref="F44"/>
    </sheetView>
  </sheetViews>
  <sheetFormatPr defaultRowHeight="14.4" x14ac:dyDescent="0.55000000000000004"/>
  <cols>
    <col min="1" max="1" width="8.83984375" style="21"/>
    <col min="2" max="2" width="25.83984375" style="21" bestFit="1" customWidth="1"/>
    <col min="3" max="22" width="13.578125" style="21" customWidth="1"/>
    <col min="23" max="16384" width="8.83984375" style="21"/>
  </cols>
  <sheetData>
    <row r="1" spans="2:22" ht="14.7" thickBot="1" x14ac:dyDescent="0.6"/>
    <row r="2" spans="2:22" s="106" customFormat="1" x14ac:dyDescent="0.55000000000000004">
      <c r="B2" s="117"/>
      <c r="C2" s="193" t="str">
        <f>HRRampUp!C2</f>
        <v>Year 1</v>
      </c>
      <c r="D2" s="194"/>
      <c r="E2" s="194"/>
      <c r="F2" s="195"/>
      <c r="G2" s="196" t="str">
        <f>HRRampUp!G2</f>
        <v>Year 2</v>
      </c>
      <c r="H2" s="197"/>
      <c r="I2" s="197"/>
      <c r="J2" s="198"/>
      <c r="K2" s="199" t="str">
        <f>HRRampUp!K2</f>
        <v>Year 3</v>
      </c>
      <c r="L2" s="199"/>
      <c r="M2" s="199"/>
      <c r="N2" s="200"/>
      <c r="O2" s="201" t="str">
        <f>HRRampUp!O2</f>
        <v>Year 4</v>
      </c>
      <c r="P2" s="201"/>
      <c r="Q2" s="201"/>
      <c r="R2" s="202"/>
      <c r="S2" s="203" t="str">
        <f>HRRampUp!S2</f>
        <v>Year 5</v>
      </c>
      <c r="T2" s="203"/>
      <c r="U2" s="203"/>
      <c r="V2" s="204"/>
    </row>
    <row r="3" spans="2:22" ht="14.7" thickBot="1" x14ac:dyDescent="0.6">
      <c r="B3" s="118"/>
      <c r="C3" s="108" t="str">
        <f>HRRampUp!C3</f>
        <v>Q1</v>
      </c>
      <c r="D3" s="108" t="str">
        <f>HRRampUp!D3</f>
        <v>Q2</v>
      </c>
      <c r="E3" s="108" t="str">
        <f>HRRampUp!E3</f>
        <v>Q3</v>
      </c>
      <c r="F3" s="109" t="str">
        <f>HRRampUp!F3</f>
        <v>Q4</v>
      </c>
      <c r="G3" s="110" t="str">
        <f>HRRampUp!G3</f>
        <v>Q1</v>
      </c>
      <c r="H3" s="110" t="str">
        <f>HRRampUp!H3</f>
        <v>Q2</v>
      </c>
      <c r="I3" s="110" t="str">
        <f>HRRampUp!I3</f>
        <v>Q3</v>
      </c>
      <c r="J3" s="111" t="str">
        <f>HRRampUp!J3</f>
        <v>Q4</v>
      </c>
      <c r="K3" s="112" t="str">
        <f>HRRampUp!K3</f>
        <v>Q1</v>
      </c>
      <c r="L3" s="112" t="str">
        <f>HRRampUp!L3</f>
        <v>Q2</v>
      </c>
      <c r="M3" s="112" t="str">
        <f>HRRampUp!M3</f>
        <v>Q3</v>
      </c>
      <c r="N3" s="113" t="str">
        <f>HRRampUp!N3</f>
        <v>Q4</v>
      </c>
      <c r="O3" s="114" t="str">
        <f>HRRampUp!O3</f>
        <v>Q1</v>
      </c>
      <c r="P3" s="114" t="str">
        <f>HRRampUp!P3</f>
        <v>Q2</v>
      </c>
      <c r="Q3" s="114" t="str">
        <f>HRRampUp!Q3</f>
        <v>Q3</v>
      </c>
      <c r="R3" s="115" t="str">
        <f>HRRampUp!R3</f>
        <v>Q4</v>
      </c>
      <c r="S3" s="116" t="str">
        <f>HRRampUp!S3</f>
        <v>Q1</v>
      </c>
      <c r="T3" s="116" t="str">
        <f>HRRampUp!T3</f>
        <v>Q2</v>
      </c>
      <c r="U3" s="116" t="str">
        <f>HRRampUp!U3</f>
        <v>Q3</v>
      </c>
      <c r="V3" s="119" t="str">
        <f>HRRampUp!V3</f>
        <v>Q4</v>
      </c>
    </row>
    <row r="4" spans="2:22" x14ac:dyDescent="0.55000000000000004">
      <c r="B4" s="67" t="s">
        <v>73</v>
      </c>
      <c r="C4" s="121">
        <f>UserBenchmarkingQuater_Raw!B3</f>
        <v>0</v>
      </c>
      <c r="D4" s="121">
        <f>UserBenchmarkingQuater_Raw!C3</f>
        <v>0</v>
      </c>
      <c r="E4" s="121">
        <f>UserBenchmarkingQuater_Raw!D3</f>
        <v>0</v>
      </c>
      <c r="F4" s="122">
        <f>UserBenchmarkingQuater_Raw!E3</f>
        <v>10000</v>
      </c>
      <c r="G4" s="121">
        <f>UserBenchmarkingQuater_Raw!F3</f>
        <v>50000</v>
      </c>
      <c r="H4" s="121">
        <f>UserBenchmarkingQuater_Raw!G3</f>
        <v>80000</v>
      </c>
      <c r="I4" s="121">
        <f>UserBenchmarkingQuater_Raw!H3</f>
        <v>100000</v>
      </c>
      <c r="J4" s="122">
        <f>UserBenchmarkingQuater_Raw!I3</f>
        <v>170000</v>
      </c>
      <c r="K4" s="121">
        <f>UserBenchmarkingQuater_Raw!J3</f>
        <v>180000</v>
      </c>
      <c r="L4" s="121">
        <f>UserBenchmarkingQuater_Raw!K3</f>
        <v>190000</v>
      </c>
      <c r="M4" s="121">
        <f>UserBenchmarkingQuater_Raw!L3</f>
        <v>248623.03982917138</v>
      </c>
      <c r="N4" s="122">
        <f>UserBenchmarkingQuater_Raw!M3</f>
        <v>600000</v>
      </c>
      <c r="O4" s="121">
        <f>UserBenchmarkingQuater_Raw!N3</f>
        <v>900000</v>
      </c>
      <c r="P4" s="121">
        <f>UserBenchmarkingQuater_Raw!O3</f>
        <v>1200000</v>
      </c>
      <c r="Q4" s="121">
        <f>UserBenchmarkingQuater_Raw!P3</f>
        <v>1406243.9965814585</v>
      </c>
      <c r="R4" s="122">
        <f>UserBenchmarkingQuater_Raw!Q3</f>
        <v>1700000</v>
      </c>
      <c r="S4" s="121">
        <f>UserBenchmarkingQuater_Raw!R3</f>
        <v>1900000</v>
      </c>
      <c r="T4" s="121">
        <f>UserBenchmarkingQuater_Raw!S3</f>
        <v>2000000</v>
      </c>
      <c r="U4" s="121">
        <f>UserBenchmarkingQuater_Raw!T3</f>
        <v>2194434.2724946504</v>
      </c>
      <c r="V4" s="123">
        <f>UserBenchmarkingQuater_Raw!U3</f>
        <v>2580000</v>
      </c>
    </row>
    <row r="5" spans="2:22" x14ac:dyDescent="0.55000000000000004">
      <c r="B5" s="67" t="str">
        <f>B21</f>
        <v>Subscription Rate (Basic)</v>
      </c>
      <c r="C5" s="121">
        <f>C4*$C$21*$D$21*$E$21*$F$21</f>
        <v>0</v>
      </c>
      <c r="D5" s="121">
        <f t="shared" ref="D5:V5" si="0">D4*$C$21*$D$21*$E$21*$F$21/4</f>
        <v>0</v>
      </c>
      <c r="E5" s="121">
        <f t="shared" si="0"/>
        <v>0</v>
      </c>
      <c r="F5" s="122">
        <f t="shared" si="0"/>
        <v>1250</v>
      </c>
      <c r="G5" s="121">
        <f t="shared" si="0"/>
        <v>6250</v>
      </c>
      <c r="H5" s="121">
        <f t="shared" si="0"/>
        <v>10000</v>
      </c>
      <c r="I5" s="121">
        <f t="shared" si="0"/>
        <v>12500</v>
      </c>
      <c r="J5" s="122">
        <f t="shared" si="0"/>
        <v>21250</v>
      </c>
      <c r="K5" s="121">
        <f t="shared" si="0"/>
        <v>22500</v>
      </c>
      <c r="L5" s="121">
        <f t="shared" si="0"/>
        <v>23750</v>
      </c>
      <c r="M5" s="121">
        <f t="shared" si="0"/>
        <v>31077.879978646422</v>
      </c>
      <c r="N5" s="122">
        <f t="shared" si="0"/>
        <v>75000</v>
      </c>
      <c r="O5" s="121">
        <f t="shared" si="0"/>
        <v>112500</v>
      </c>
      <c r="P5" s="121">
        <f t="shared" si="0"/>
        <v>150000</v>
      </c>
      <c r="Q5" s="121">
        <f t="shared" si="0"/>
        <v>175780.49957268231</v>
      </c>
      <c r="R5" s="122">
        <f t="shared" si="0"/>
        <v>212500</v>
      </c>
      <c r="S5" s="121">
        <f t="shared" si="0"/>
        <v>237500</v>
      </c>
      <c r="T5" s="121">
        <f t="shared" si="0"/>
        <v>250000</v>
      </c>
      <c r="U5" s="121">
        <f t="shared" si="0"/>
        <v>274304.28406183131</v>
      </c>
      <c r="V5" s="123">
        <f t="shared" si="0"/>
        <v>322500</v>
      </c>
    </row>
    <row r="6" spans="2:22" x14ac:dyDescent="0.55000000000000004">
      <c r="B6" s="67" t="str">
        <f>B22</f>
        <v>Subscription Rate (Deluxe)</v>
      </c>
      <c r="C6" s="121">
        <f>C4*(1-$C$21)*$C$22*$D$22*$E$22*$F$22</f>
        <v>0</v>
      </c>
      <c r="D6" s="121">
        <f t="shared" ref="D6:V6" si="1">D4*(1-$C$21)*$C$22*$D$22*$E$22*$F$22/4</f>
        <v>0</v>
      </c>
      <c r="E6" s="121">
        <f t="shared" si="1"/>
        <v>0</v>
      </c>
      <c r="F6" s="122">
        <f t="shared" si="1"/>
        <v>356.25</v>
      </c>
      <c r="G6" s="121">
        <f t="shared" si="1"/>
        <v>1781.25</v>
      </c>
      <c r="H6" s="121">
        <f t="shared" si="1"/>
        <v>2850</v>
      </c>
      <c r="I6" s="121">
        <f t="shared" si="1"/>
        <v>3562.5</v>
      </c>
      <c r="J6" s="122">
        <f t="shared" si="1"/>
        <v>6056.25</v>
      </c>
      <c r="K6" s="121">
        <f t="shared" si="1"/>
        <v>6412.5</v>
      </c>
      <c r="L6" s="121">
        <f t="shared" si="1"/>
        <v>6768.75</v>
      </c>
      <c r="M6" s="121">
        <f t="shared" si="1"/>
        <v>8857.1957939142303</v>
      </c>
      <c r="N6" s="122">
        <f t="shared" si="1"/>
        <v>21375</v>
      </c>
      <c r="O6" s="121">
        <f t="shared" si="1"/>
        <v>32062.5</v>
      </c>
      <c r="P6" s="121">
        <f t="shared" si="1"/>
        <v>42750</v>
      </c>
      <c r="Q6" s="121">
        <f t="shared" si="1"/>
        <v>50097.442378214459</v>
      </c>
      <c r="R6" s="122">
        <f t="shared" si="1"/>
        <v>60562.5</v>
      </c>
      <c r="S6" s="121">
        <f t="shared" si="1"/>
        <v>67687.5</v>
      </c>
      <c r="T6" s="121">
        <f t="shared" si="1"/>
        <v>71250</v>
      </c>
      <c r="U6" s="121">
        <f t="shared" si="1"/>
        <v>78176.720957621917</v>
      </c>
      <c r="V6" s="123">
        <f t="shared" si="1"/>
        <v>91912.5</v>
      </c>
    </row>
    <row r="7" spans="2:22" x14ac:dyDescent="0.55000000000000004">
      <c r="B7" s="67" t="str">
        <f>B23</f>
        <v>Single-time Payment</v>
      </c>
      <c r="C7" s="121">
        <f>C5*(1-$C$21)*$C$22*$D$22*$E$22*$F$22</f>
        <v>0</v>
      </c>
      <c r="D7" s="121">
        <f t="shared" ref="D7:V7" si="2">D5*(1-$C$21)*$C$22*$D$22*$E$22*$F$22/4</f>
        <v>0</v>
      </c>
      <c r="E7" s="121">
        <f t="shared" si="2"/>
        <v>0</v>
      </c>
      <c r="F7" s="122">
        <f t="shared" si="2"/>
        <v>44.53125</v>
      </c>
      <c r="G7" s="121">
        <f t="shared" si="2"/>
        <v>222.65625</v>
      </c>
      <c r="H7" s="121">
        <f t="shared" si="2"/>
        <v>356.25</v>
      </c>
      <c r="I7" s="121">
        <f t="shared" si="2"/>
        <v>445.3125</v>
      </c>
      <c r="J7" s="122">
        <f t="shared" si="2"/>
        <v>757.03125</v>
      </c>
      <c r="K7" s="121">
        <f t="shared" si="2"/>
        <v>801.5625</v>
      </c>
      <c r="L7" s="121">
        <f t="shared" si="2"/>
        <v>846.09375</v>
      </c>
      <c r="M7" s="121">
        <f t="shared" si="2"/>
        <v>1107.1494742392788</v>
      </c>
      <c r="N7" s="122">
        <f t="shared" si="2"/>
        <v>2671.875</v>
      </c>
      <c r="O7" s="121">
        <f t="shared" si="2"/>
        <v>4007.8125</v>
      </c>
      <c r="P7" s="121">
        <f t="shared" si="2"/>
        <v>5343.75</v>
      </c>
      <c r="Q7" s="121">
        <f t="shared" si="2"/>
        <v>6262.1802972768073</v>
      </c>
      <c r="R7" s="122">
        <f t="shared" si="2"/>
        <v>7570.3125</v>
      </c>
      <c r="S7" s="121">
        <f t="shared" si="2"/>
        <v>8460.9375</v>
      </c>
      <c r="T7" s="121">
        <f t="shared" si="2"/>
        <v>8906.25</v>
      </c>
      <c r="U7" s="121">
        <f t="shared" si="2"/>
        <v>9772.0901197027397</v>
      </c>
      <c r="V7" s="123">
        <f t="shared" si="2"/>
        <v>11489.0625</v>
      </c>
    </row>
    <row r="8" spans="2:22" ht="14.7" thickBot="1" x14ac:dyDescent="0.6">
      <c r="B8" s="120" t="s">
        <v>82</v>
      </c>
      <c r="C8" s="124">
        <f>C6*(1-$C$21)*$C$22*$D$22*$E$22*$F$22</f>
        <v>0</v>
      </c>
      <c r="D8" s="124">
        <f t="shared" ref="D8:V8" si="3">SUM(D4:D7)</f>
        <v>0</v>
      </c>
      <c r="E8" s="124">
        <f t="shared" si="3"/>
        <v>0</v>
      </c>
      <c r="F8" s="125">
        <f>SUM(F5:F7)</f>
        <v>1650.78125</v>
      </c>
      <c r="G8" s="125">
        <f t="shared" ref="G8:V8" si="4">SUM(G5:G7)</f>
        <v>8253.90625</v>
      </c>
      <c r="H8" s="125">
        <f t="shared" si="4"/>
        <v>13206.25</v>
      </c>
      <c r="I8" s="125">
        <f t="shared" si="4"/>
        <v>16507.8125</v>
      </c>
      <c r="J8" s="125">
        <f t="shared" si="4"/>
        <v>28063.28125</v>
      </c>
      <c r="K8" s="125">
        <f t="shared" si="4"/>
        <v>29714.0625</v>
      </c>
      <c r="L8" s="125">
        <f t="shared" si="4"/>
        <v>31364.84375</v>
      </c>
      <c r="M8" s="125">
        <f t="shared" si="4"/>
        <v>41042.225246799935</v>
      </c>
      <c r="N8" s="125">
        <f t="shared" si="4"/>
        <v>99046.875</v>
      </c>
      <c r="O8" s="125">
        <f t="shared" si="4"/>
        <v>148570.3125</v>
      </c>
      <c r="P8" s="125">
        <f t="shared" si="4"/>
        <v>198093.75</v>
      </c>
      <c r="Q8" s="125">
        <f t="shared" si="4"/>
        <v>232140.12224817357</v>
      </c>
      <c r="R8" s="125">
        <f t="shared" si="4"/>
        <v>280632.8125</v>
      </c>
      <c r="S8" s="125">
        <f t="shared" si="4"/>
        <v>313648.4375</v>
      </c>
      <c r="T8" s="125">
        <f t="shared" si="4"/>
        <v>330156.25</v>
      </c>
      <c r="U8" s="125">
        <f t="shared" si="4"/>
        <v>362253.09513915598</v>
      </c>
      <c r="V8" s="125">
        <f t="shared" si="4"/>
        <v>425901.5625</v>
      </c>
    </row>
    <row r="9" spans="2:22" x14ac:dyDescent="0.55000000000000004">
      <c r="B9" s="67" t="s">
        <v>72</v>
      </c>
      <c r="C9" s="121">
        <f>UserBenchmarkingQuater_Raw!B4</f>
        <v>0</v>
      </c>
      <c r="D9" s="121">
        <f>UserBenchmarkingQuater_Raw!C4</f>
        <v>0</v>
      </c>
      <c r="E9" s="121">
        <f>UserBenchmarkingQuater_Raw!D4</f>
        <v>0</v>
      </c>
      <c r="F9" s="122">
        <f>UserBenchmarkingQuater_Raw!E4</f>
        <v>100</v>
      </c>
      <c r="G9" s="121">
        <f>UserBenchmarkingQuater_Raw!F4</f>
        <v>200</v>
      </c>
      <c r="H9" s="121">
        <f>UserBenchmarkingQuater_Raw!G4</f>
        <v>230</v>
      </c>
      <c r="I9" s="121">
        <f>UserBenchmarkingQuater_Raw!H4</f>
        <v>248.62303982917138</v>
      </c>
      <c r="J9" s="122">
        <f>UserBenchmarkingQuater_Raw!I4</f>
        <v>700</v>
      </c>
      <c r="K9" s="121">
        <f>UserBenchmarkingQuater_Raw!J4</f>
        <v>900</v>
      </c>
      <c r="L9" s="121">
        <f>UserBenchmarkingQuater_Raw!K4</f>
        <v>1200</v>
      </c>
      <c r="M9" s="121">
        <f>UserBenchmarkingQuater_Raw!L4</f>
        <v>1406.2439965814585</v>
      </c>
      <c r="N9" s="122">
        <f>UserBenchmarkingQuater_Raw!M4</f>
        <v>1800</v>
      </c>
      <c r="O9" s="121">
        <f>UserBenchmarkingQuater_Raw!N4</f>
        <v>1900</v>
      </c>
      <c r="P9" s="121">
        <f>UserBenchmarkingQuater_Raw!O4</f>
        <v>2000</v>
      </c>
      <c r="Q9" s="121">
        <f>UserBenchmarkingQuater_Raw!P4</f>
        <v>2194.43427249465</v>
      </c>
      <c r="R9" s="122">
        <f>UserBenchmarkingQuater_Raw!Q4</f>
        <v>2500</v>
      </c>
      <c r="S9" s="121">
        <f>UserBenchmarkingQuater_Raw!R4</f>
        <v>2600</v>
      </c>
      <c r="T9" s="121">
        <f>UserBenchmarkingQuater_Raw!S4</f>
        <v>2800</v>
      </c>
      <c r="U9" s="121">
        <f>UserBenchmarkingQuater_Raw!T4</f>
        <v>2803.8002958752127</v>
      </c>
      <c r="V9" s="123">
        <f>UserBenchmarkingQuater_Raw!U4</f>
        <v>3200</v>
      </c>
    </row>
    <row r="10" spans="2:22" ht="14.7" thickBot="1" x14ac:dyDescent="0.6">
      <c r="B10" s="120" t="str">
        <f>B24</f>
        <v>Hiring Partner Subscription</v>
      </c>
      <c r="C10" s="124">
        <f>C9*$C$24*$D$24*$E$24</f>
        <v>0</v>
      </c>
      <c r="D10" s="124">
        <f t="shared" ref="D10:V10" si="5">D9*$C$24*$D$24*$E$24/4</f>
        <v>0</v>
      </c>
      <c r="E10" s="124">
        <f t="shared" si="5"/>
        <v>0</v>
      </c>
      <c r="F10" s="125">
        <f t="shared" si="5"/>
        <v>225</v>
      </c>
      <c r="G10" s="124">
        <f t="shared" si="5"/>
        <v>450</v>
      </c>
      <c r="H10" s="124">
        <f t="shared" si="5"/>
        <v>517.5</v>
      </c>
      <c r="I10" s="124">
        <f t="shared" si="5"/>
        <v>559.40183961563571</v>
      </c>
      <c r="J10" s="125">
        <f t="shared" si="5"/>
        <v>1575</v>
      </c>
      <c r="K10" s="124">
        <f t="shared" si="5"/>
        <v>2025</v>
      </c>
      <c r="L10" s="124">
        <f t="shared" si="5"/>
        <v>2700</v>
      </c>
      <c r="M10" s="124">
        <f t="shared" si="5"/>
        <v>3164.0489923082819</v>
      </c>
      <c r="N10" s="125">
        <f t="shared" si="5"/>
        <v>4050</v>
      </c>
      <c r="O10" s="124">
        <f t="shared" si="5"/>
        <v>4275</v>
      </c>
      <c r="P10" s="124">
        <f t="shared" si="5"/>
        <v>4500</v>
      </c>
      <c r="Q10" s="124">
        <f t="shared" si="5"/>
        <v>4937.4771131129628</v>
      </c>
      <c r="R10" s="125">
        <f t="shared" si="5"/>
        <v>5625</v>
      </c>
      <c r="S10" s="124">
        <f t="shared" si="5"/>
        <v>5850</v>
      </c>
      <c r="T10" s="124">
        <f t="shared" si="5"/>
        <v>6300</v>
      </c>
      <c r="U10" s="124">
        <f t="shared" si="5"/>
        <v>6308.5506657192282</v>
      </c>
      <c r="V10" s="126">
        <f t="shared" si="5"/>
        <v>7200</v>
      </c>
    </row>
    <row r="11" spans="2:22" x14ac:dyDescent="0.55000000000000004">
      <c r="B11" s="67" t="str">
        <f>B26</f>
        <v>Cert Course Registration (Low)</v>
      </c>
      <c r="C11" s="121">
        <f>C4*$C$26*$D$26*$E$26*$F$26</f>
        <v>0</v>
      </c>
      <c r="D11" s="121">
        <f t="shared" ref="D11:V11" si="6">D4*$C$26*$D$26*$E$26*$F$26/4</f>
        <v>0</v>
      </c>
      <c r="E11" s="121">
        <f t="shared" si="6"/>
        <v>0</v>
      </c>
      <c r="F11" s="122">
        <f t="shared" si="6"/>
        <v>93.75</v>
      </c>
      <c r="G11" s="121">
        <f t="shared" si="6"/>
        <v>468.75</v>
      </c>
      <c r="H11" s="121">
        <f t="shared" si="6"/>
        <v>750</v>
      </c>
      <c r="I11" s="121">
        <f t="shared" si="6"/>
        <v>937.5</v>
      </c>
      <c r="J11" s="122">
        <f t="shared" si="6"/>
        <v>1593.75</v>
      </c>
      <c r="K11" s="121">
        <f t="shared" si="6"/>
        <v>1687.5</v>
      </c>
      <c r="L11" s="121">
        <f t="shared" si="6"/>
        <v>1781.25</v>
      </c>
      <c r="M11" s="121">
        <f t="shared" si="6"/>
        <v>2330.8409983984816</v>
      </c>
      <c r="N11" s="122">
        <f t="shared" si="6"/>
        <v>5625</v>
      </c>
      <c r="O11" s="121">
        <f t="shared" si="6"/>
        <v>8437.5</v>
      </c>
      <c r="P11" s="121">
        <f t="shared" si="6"/>
        <v>11250</v>
      </c>
      <c r="Q11" s="121">
        <f t="shared" si="6"/>
        <v>13183.537467951173</v>
      </c>
      <c r="R11" s="122">
        <f t="shared" si="6"/>
        <v>15937.5</v>
      </c>
      <c r="S11" s="121">
        <f t="shared" si="6"/>
        <v>17812.5</v>
      </c>
      <c r="T11" s="121">
        <f t="shared" si="6"/>
        <v>18750</v>
      </c>
      <c r="U11" s="121">
        <f t="shared" si="6"/>
        <v>20572.821304637349</v>
      </c>
      <c r="V11" s="123">
        <f t="shared" si="6"/>
        <v>24187.5</v>
      </c>
    </row>
    <row r="12" spans="2:22" x14ac:dyDescent="0.55000000000000004">
      <c r="B12" s="67" t="str">
        <f>B27</f>
        <v>Cert Course Registration (High)</v>
      </c>
      <c r="C12" s="121">
        <f>C4*$C$27*$D$27*$E$27*$F$27</f>
        <v>0</v>
      </c>
      <c r="D12" s="121">
        <f t="shared" ref="D12:V12" si="7">D4*$C$27*$D$27*$E$27*$F$27/4</f>
        <v>0</v>
      </c>
      <c r="E12" s="121">
        <f t="shared" si="7"/>
        <v>0</v>
      </c>
      <c r="F12" s="122">
        <f t="shared" si="7"/>
        <v>250</v>
      </c>
      <c r="G12" s="121">
        <f t="shared" si="7"/>
        <v>1250</v>
      </c>
      <c r="H12" s="121">
        <f t="shared" si="7"/>
        <v>2000</v>
      </c>
      <c r="I12" s="121">
        <f t="shared" si="7"/>
        <v>2500</v>
      </c>
      <c r="J12" s="122">
        <f t="shared" si="7"/>
        <v>4250</v>
      </c>
      <c r="K12" s="121">
        <f t="shared" si="7"/>
        <v>4500</v>
      </c>
      <c r="L12" s="121">
        <f t="shared" si="7"/>
        <v>4750</v>
      </c>
      <c r="M12" s="121">
        <f t="shared" si="7"/>
        <v>6215.5759957292848</v>
      </c>
      <c r="N12" s="122">
        <f t="shared" si="7"/>
        <v>15000</v>
      </c>
      <c r="O12" s="121">
        <f t="shared" si="7"/>
        <v>22500</v>
      </c>
      <c r="P12" s="121">
        <f t="shared" si="7"/>
        <v>30000</v>
      </c>
      <c r="Q12" s="121">
        <f t="shared" si="7"/>
        <v>35156.099914536462</v>
      </c>
      <c r="R12" s="122">
        <f t="shared" si="7"/>
        <v>42500</v>
      </c>
      <c r="S12" s="121">
        <f t="shared" si="7"/>
        <v>47500</v>
      </c>
      <c r="T12" s="121">
        <f t="shared" si="7"/>
        <v>50000</v>
      </c>
      <c r="U12" s="121">
        <f t="shared" si="7"/>
        <v>54860.856812366263</v>
      </c>
      <c r="V12" s="123">
        <f t="shared" si="7"/>
        <v>64500</v>
      </c>
    </row>
    <row r="13" spans="2:22" x14ac:dyDescent="0.55000000000000004">
      <c r="B13" s="67" t="str">
        <f>B28</f>
        <v>Online Diploma Registration</v>
      </c>
      <c r="C13" s="121">
        <f>C4*$C$28*$D$28*$E$28*$F$28</f>
        <v>0</v>
      </c>
      <c r="D13" s="121">
        <f t="shared" ref="D13:V13" si="8">D4*$C$28*$D$28*$E$28*$F$28/4</f>
        <v>0</v>
      </c>
      <c r="E13" s="121">
        <f t="shared" si="8"/>
        <v>0</v>
      </c>
      <c r="F13" s="122">
        <f t="shared" si="8"/>
        <v>4687.5</v>
      </c>
      <c r="G13" s="121">
        <f t="shared" si="8"/>
        <v>23437.5</v>
      </c>
      <c r="H13" s="121">
        <f t="shared" si="8"/>
        <v>37500</v>
      </c>
      <c r="I13" s="121">
        <f t="shared" si="8"/>
        <v>46875</v>
      </c>
      <c r="J13" s="122">
        <f t="shared" si="8"/>
        <v>79687.5</v>
      </c>
      <c r="K13" s="121">
        <f t="shared" si="8"/>
        <v>84375</v>
      </c>
      <c r="L13" s="121">
        <f t="shared" si="8"/>
        <v>89062.5</v>
      </c>
      <c r="M13" s="121">
        <f t="shared" si="8"/>
        <v>116542.0499199241</v>
      </c>
      <c r="N13" s="122">
        <f t="shared" si="8"/>
        <v>281250</v>
      </c>
      <c r="O13" s="121">
        <f t="shared" si="8"/>
        <v>421875</v>
      </c>
      <c r="P13" s="121">
        <f t="shared" si="8"/>
        <v>562500</v>
      </c>
      <c r="Q13" s="121">
        <f t="shared" si="8"/>
        <v>659176.87339755869</v>
      </c>
      <c r="R13" s="122">
        <f t="shared" si="8"/>
        <v>796875</v>
      </c>
      <c r="S13" s="121">
        <f t="shared" si="8"/>
        <v>890625</v>
      </c>
      <c r="T13" s="121">
        <f t="shared" si="8"/>
        <v>937500</v>
      </c>
      <c r="U13" s="121">
        <f t="shared" si="8"/>
        <v>1028641.0652318676</v>
      </c>
      <c r="V13" s="123">
        <f t="shared" si="8"/>
        <v>1209375</v>
      </c>
    </row>
    <row r="14" spans="2:22" ht="14.7" thickBot="1" x14ac:dyDescent="0.6">
      <c r="B14" s="120" t="s">
        <v>81</v>
      </c>
      <c r="C14" s="124">
        <f t="shared" ref="C14:V14" si="9">SUM(C11:C13)</f>
        <v>0</v>
      </c>
      <c r="D14" s="124">
        <f t="shared" si="9"/>
        <v>0</v>
      </c>
      <c r="E14" s="124">
        <f t="shared" si="9"/>
        <v>0</v>
      </c>
      <c r="F14" s="125">
        <f t="shared" si="9"/>
        <v>5031.25</v>
      </c>
      <c r="G14" s="124">
        <f t="shared" si="9"/>
        <v>25156.25</v>
      </c>
      <c r="H14" s="124">
        <f t="shared" si="9"/>
        <v>40250</v>
      </c>
      <c r="I14" s="124">
        <f t="shared" si="9"/>
        <v>50312.5</v>
      </c>
      <c r="J14" s="125">
        <f t="shared" si="9"/>
        <v>85531.25</v>
      </c>
      <c r="K14" s="124">
        <f t="shared" si="9"/>
        <v>90562.5</v>
      </c>
      <c r="L14" s="124">
        <f t="shared" si="9"/>
        <v>95593.75</v>
      </c>
      <c r="M14" s="124">
        <f t="shared" si="9"/>
        <v>125088.46691405187</v>
      </c>
      <c r="N14" s="125">
        <f t="shared" si="9"/>
        <v>301875</v>
      </c>
      <c r="O14" s="124">
        <f t="shared" si="9"/>
        <v>452812.5</v>
      </c>
      <c r="P14" s="124">
        <f t="shared" si="9"/>
        <v>603750</v>
      </c>
      <c r="Q14" s="124">
        <f t="shared" si="9"/>
        <v>707516.51078004634</v>
      </c>
      <c r="R14" s="125">
        <f t="shared" si="9"/>
        <v>855312.5</v>
      </c>
      <c r="S14" s="124">
        <f t="shared" si="9"/>
        <v>955937.5</v>
      </c>
      <c r="T14" s="124">
        <f t="shared" si="9"/>
        <v>1006250</v>
      </c>
      <c r="U14" s="124">
        <f t="shared" si="9"/>
        <v>1104074.7433488711</v>
      </c>
      <c r="V14" s="126">
        <f t="shared" si="9"/>
        <v>1298062.5</v>
      </c>
    </row>
    <row r="15" spans="2:22" ht="14.7" thickBot="1" x14ac:dyDescent="0.6">
      <c r="B15" s="107" t="s">
        <v>83</v>
      </c>
      <c r="C15" s="127">
        <v>0</v>
      </c>
      <c r="D15" s="127">
        <f t="shared" ref="D15:V15" si="10">D8+D10+D14</f>
        <v>0</v>
      </c>
      <c r="E15" s="127">
        <f t="shared" si="10"/>
        <v>0</v>
      </c>
      <c r="F15" s="128">
        <f>F8+F10+F14</f>
        <v>6907.03125</v>
      </c>
      <c r="G15" s="127">
        <f>G8+G10+G14</f>
        <v>33860.15625</v>
      </c>
      <c r="H15" s="127">
        <f>H8+H10+H14</f>
        <v>53973.75</v>
      </c>
      <c r="I15" s="127">
        <f>I8+I10+I14</f>
        <v>67379.714339615632</v>
      </c>
      <c r="J15" s="128">
        <f t="shared" si="10"/>
        <v>115169.53125</v>
      </c>
      <c r="K15" s="127">
        <f t="shared" si="10"/>
        <v>122301.5625</v>
      </c>
      <c r="L15" s="127">
        <f t="shared" si="10"/>
        <v>129658.59375</v>
      </c>
      <c r="M15" s="127">
        <f t="shared" si="10"/>
        <v>169294.74115316008</v>
      </c>
      <c r="N15" s="128">
        <f t="shared" si="10"/>
        <v>404971.875</v>
      </c>
      <c r="O15" s="127">
        <f t="shared" si="10"/>
        <v>605657.8125</v>
      </c>
      <c r="P15" s="127">
        <f t="shared" si="10"/>
        <v>806343.75</v>
      </c>
      <c r="Q15" s="127">
        <f t="shared" si="10"/>
        <v>944594.11014133284</v>
      </c>
      <c r="R15" s="128">
        <f t="shared" si="10"/>
        <v>1141570.3125</v>
      </c>
      <c r="S15" s="127">
        <f t="shared" si="10"/>
        <v>1275435.9375</v>
      </c>
      <c r="T15" s="127">
        <f t="shared" si="10"/>
        <v>1342706.25</v>
      </c>
      <c r="U15" s="127">
        <f t="shared" si="10"/>
        <v>1472636.3891537464</v>
      </c>
      <c r="V15" s="129">
        <f t="shared" si="10"/>
        <v>1731164.0625</v>
      </c>
    </row>
    <row r="20" spans="2:10" x14ac:dyDescent="0.55000000000000004">
      <c r="B20" s="31"/>
      <c r="C20" s="31" t="s">
        <v>75</v>
      </c>
      <c r="D20" s="31" t="s">
        <v>71</v>
      </c>
      <c r="E20" s="31" t="s">
        <v>70</v>
      </c>
      <c r="F20" s="31" t="s">
        <v>80</v>
      </c>
    </row>
    <row r="21" spans="2:10" x14ac:dyDescent="0.55000000000000004">
      <c r="B21" s="31" t="s">
        <v>68</v>
      </c>
      <c r="C21" s="45">
        <v>0.05</v>
      </c>
      <c r="D21" s="45">
        <v>8</v>
      </c>
      <c r="E21" s="45">
        <f>5/4</f>
        <v>1.25</v>
      </c>
      <c r="F21" s="45">
        <v>1</v>
      </c>
      <c r="G21" s="46"/>
      <c r="H21" s="46"/>
      <c r="J21" s="44"/>
    </row>
    <row r="22" spans="2:10" x14ac:dyDescent="0.55000000000000004">
      <c r="B22" s="31" t="s">
        <v>69</v>
      </c>
      <c r="C22" s="45">
        <v>0.02</v>
      </c>
      <c r="D22" s="45">
        <v>15</v>
      </c>
      <c r="E22" s="45">
        <v>0.5</v>
      </c>
      <c r="F22" s="45">
        <v>1</v>
      </c>
      <c r="G22" s="46"/>
      <c r="H22" s="46"/>
      <c r="J22" s="44"/>
    </row>
    <row r="23" spans="2:10" x14ac:dyDescent="0.55000000000000004">
      <c r="B23" s="31" t="s">
        <v>76</v>
      </c>
      <c r="C23" s="45">
        <v>0.1</v>
      </c>
      <c r="D23" s="45">
        <v>1</v>
      </c>
      <c r="E23" s="45">
        <f>3/4</f>
        <v>0.75</v>
      </c>
      <c r="F23" s="45">
        <v>1</v>
      </c>
      <c r="G23" s="46"/>
      <c r="H23" s="46"/>
      <c r="J23" s="44"/>
    </row>
    <row r="24" spans="2:10" x14ac:dyDescent="0.55000000000000004">
      <c r="B24" s="31" t="s">
        <v>74</v>
      </c>
      <c r="C24" s="45">
        <v>0.2</v>
      </c>
      <c r="D24" s="45">
        <v>30</v>
      </c>
      <c r="E24" s="45">
        <f>6/4</f>
        <v>1.5</v>
      </c>
      <c r="F24" s="45">
        <v>1</v>
      </c>
      <c r="G24" s="46"/>
      <c r="H24" s="46"/>
    </row>
    <row r="25" spans="2:10" x14ac:dyDescent="0.55000000000000004">
      <c r="B25" s="32"/>
      <c r="C25" s="45"/>
      <c r="D25" s="45"/>
      <c r="E25" s="45"/>
      <c r="F25" s="45"/>
      <c r="G25" s="46"/>
      <c r="H25" s="46"/>
    </row>
    <row r="26" spans="2:10" x14ac:dyDescent="0.55000000000000004">
      <c r="B26" s="31" t="s">
        <v>77</v>
      </c>
      <c r="C26" s="45">
        <v>0.1</v>
      </c>
      <c r="D26" s="45">
        <v>15</v>
      </c>
      <c r="E26" s="45">
        <v>0.25</v>
      </c>
      <c r="F26" s="45">
        <v>0.1</v>
      </c>
      <c r="G26" s="46"/>
      <c r="H26" s="46"/>
    </row>
    <row r="27" spans="2:10" x14ac:dyDescent="0.55000000000000004">
      <c r="B27" s="31" t="s">
        <v>78</v>
      </c>
      <c r="C27" s="45">
        <v>0.02</v>
      </c>
      <c r="D27" s="45">
        <v>200</v>
      </c>
      <c r="E27" s="45">
        <v>0.25</v>
      </c>
      <c r="F27" s="45">
        <v>0.1</v>
      </c>
      <c r="G27" s="46"/>
      <c r="H27" s="46"/>
    </row>
    <row r="28" spans="2:10" x14ac:dyDescent="0.55000000000000004">
      <c r="B28" s="33" t="s">
        <v>79</v>
      </c>
      <c r="C28" s="47">
        <v>5.0000000000000001E-3</v>
      </c>
      <c r="D28" s="47">
        <v>15000</v>
      </c>
      <c r="E28" s="47">
        <v>0.25</v>
      </c>
      <c r="F28" s="47">
        <v>0.1</v>
      </c>
      <c r="G28" s="46"/>
      <c r="H28" s="46"/>
    </row>
  </sheetData>
  <mergeCells count="5">
    <mergeCell ref="C2:F2"/>
    <mergeCell ref="G2:J2"/>
    <mergeCell ref="K2:N2"/>
    <mergeCell ref="O2:R2"/>
    <mergeCell ref="S2:V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P22"/>
  <sheetViews>
    <sheetView showGridLines="0" zoomScale="70" zoomScaleNormal="70" workbookViewId="0">
      <selection activeCell="R13" sqref="R13"/>
    </sheetView>
  </sheetViews>
  <sheetFormatPr defaultRowHeight="14.4" outlineLevelCol="1" x14ac:dyDescent="0.55000000000000004"/>
  <cols>
    <col min="1" max="1" width="6.26171875" style="44" bestFit="1" customWidth="1"/>
    <col min="2" max="2" width="5.578125" style="51" customWidth="1"/>
    <col min="3" max="3" width="4.15625" style="44" bestFit="1" customWidth="1"/>
    <col min="4" max="7" width="15.578125" style="44" customWidth="1"/>
    <col min="8" max="8" width="15.578125" style="52" customWidth="1" outlineLevel="1"/>
    <col min="9" max="9" width="12.89453125" style="44" bestFit="1" customWidth="1"/>
    <col min="10" max="10" width="16.05078125" style="44" customWidth="1"/>
    <col min="11" max="11" width="15.26171875" style="44" customWidth="1"/>
    <col min="12" max="12" width="10.41796875" style="44" customWidth="1"/>
    <col min="13" max="13" width="12.05078125" style="44" customWidth="1"/>
    <col min="14" max="14" width="15.3671875" style="44" customWidth="1"/>
    <col min="15" max="15" width="17.83984375" style="44" customWidth="1"/>
    <col min="16" max="23" width="10.7890625" style="44" bestFit="1" customWidth="1"/>
    <col min="24" max="24" width="12.26171875" style="44" bestFit="1" customWidth="1"/>
    <col min="25" max="26" width="10.7890625" style="44" bestFit="1" customWidth="1"/>
    <col min="27" max="16384" width="8.83984375" style="44"/>
  </cols>
  <sheetData>
    <row r="1" spans="1:16" ht="14.7" thickBot="1" x14ac:dyDescent="0.6">
      <c r="A1" s="49"/>
      <c r="B1" s="50"/>
      <c r="C1" s="49"/>
      <c r="D1" s="49"/>
      <c r="E1" s="49"/>
    </row>
    <row r="2" spans="1:16" ht="30" customHeight="1" thickBot="1" x14ac:dyDescent="0.6">
      <c r="A2" s="48"/>
      <c r="B2" s="130" t="s">
        <v>32</v>
      </c>
      <c r="C2" s="131"/>
      <c r="D2" s="131" t="s">
        <v>106</v>
      </c>
      <c r="E2" s="131" t="s">
        <v>104</v>
      </c>
      <c r="F2" s="131" t="s">
        <v>107</v>
      </c>
      <c r="G2" s="131" t="s">
        <v>105</v>
      </c>
      <c r="H2" s="132" t="s">
        <v>108</v>
      </c>
    </row>
    <row r="3" spans="1:16" ht="20.05" customHeight="1" x14ac:dyDescent="0.55000000000000004">
      <c r="A3" s="48"/>
      <c r="B3" s="133">
        <v>1</v>
      </c>
      <c r="C3" s="134" t="s">
        <v>33</v>
      </c>
      <c r="D3" s="135">
        <f>CostExpense!C19</f>
        <v>77830</v>
      </c>
      <c r="E3" s="135">
        <f>SalesForecast!C15</f>
        <v>0</v>
      </c>
      <c r="F3" s="135">
        <f>E3-D3</f>
        <v>-77830</v>
      </c>
      <c r="G3" s="135">
        <f>F3</f>
        <v>-77830</v>
      </c>
      <c r="H3" s="136">
        <f>ABS(IF(G3&lt;0,G3,D3))</f>
        <v>77830</v>
      </c>
    </row>
    <row r="4" spans="1:16" ht="20.05" customHeight="1" x14ac:dyDescent="0.55000000000000004">
      <c r="A4" s="48"/>
      <c r="B4" s="133">
        <v>1</v>
      </c>
      <c r="C4" s="134" t="s">
        <v>34</v>
      </c>
      <c r="D4" s="135">
        <f>CostExpense!D19</f>
        <v>114615</v>
      </c>
      <c r="E4" s="135">
        <f>SalesForecast!D15</f>
        <v>0</v>
      </c>
      <c r="F4" s="135">
        <f t="shared" ref="F4:F22" si="0">E4-D4</f>
        <v>-114615</v>
      </c>
      <c r="G4" s="135">
        <f>F4+G3</f>
        <v>-192445</v>
      </c>
      <c r="H4" s="136">
        <f t="shared" ref="H4:H22" si="1">ABS(IF(G4&lt;0,G4,D4))</f>
        <v>192445</v>
      </c>
    </row>
    <row r="5" spans="1:16" ht="20.05" customHeight="1" x14ac:dyDescent="0.55000000000000004">
      <c r="A5" s="48"/>
      <c r="B5" s="133">
        <v>1</v>
      </c>
      <c r="C5" s="134" t="s">
        <v>35</v>
      </c>
      <c r="D5" s="135">
        <f>CostExpense!E19</f>
        <v>88400</v>
      </c>
      <c r="E5" s="135">
        <f>SalesForecast!E15</f>
        <v>0</v>
      </c>
      <c r="F5" s="135">
        <f t="shared" si="0"/>
        <v>-88400</v>
      </c>
      <c r="G5" s="135">
        <f t="shared" ref="G5:G22" si="2">F5+G4</f>
        <v>-280845</v>
      </c>
      <c r="H5" s="136">
        <f t="shared" si="1"/>
        <v>280845</v>
      </c>
    </row>
    <row r="6" spans="1:16" ht="20.05" customHeight="1" x14ac:dyDescent="0.55000000000000004">
      <c r="A6" s="48"/>
      <c r="B6" s="168">
        <v>1</v>
      </c>
      <c r="C6" s="169" t="s">
        <v>36</v>
      </c>
      <c r="D6" s="170">
        <f>CostExpense!F19</f>
        <v>514400</v>
      </c>
      <c r="E6" s="170">
        <f>SalesForecast!F15</f>
        <v>6907.03125</v>
      </c>
      <c r="F6" s="170">
        <f t="shared" si="0"/>
        <v>-507492.96875</v>
      </c>
      <c r="G6" s="170">
        <f t="shared" si="2"/>
        <v>-788337.96875</v>
      </c>
      <c r="H6" s="171">
        <f t="shared" si="1"/>
        <v>788337.96875</v>
      </c>
    </row>
    <row r="7" spans="1:16" ht="20.05" customHeight="1" x14ac:dyDescent="0.55000000000000004">
      <c r="B7" s="137">
        <v>2</v>
      </c>
      <c r="C7" s="138" t="s">
        <v>33</v>
      </c>
      <c r="D7" s="139">
        <f>CostExpense!G19</f>
        <v>114615</v>
      </c>
      <c r="E7" s="139">
        <f>SalesForecast!G15</f>
        <v>33860.15625</v>
      </c>
      <c r="F7" s="139">
        <f t="shared" si="0"/>
        <v>-80754.84375</v>
      </c>
      <c r="G7" s="139">
        <f t="shared" si="2"/>
        <v>-869092.8125</v>
      </c>
      <c r="H7" s="140">
        <f t="shared" si="1"/>
        <v>869092.8125</v>
      </c>
    </row>
    <row r="8" spans="1:16" ht="20.05" customHeight="1" x14ac:dyDescent="0.55000000000000004">
      <c r="B8" s="137">
        <v>2</v>
      </c>
      <c r="C8" s="138" t="s">
        <v>34</v>
      </c>
      <c r="D8" s="139">
        <f>CostExpense!H19</f>
        <v>94200</v>
      </c>
      <c r="E8" s="139">
        <f>SalesForecast!H15</f>
        <v>53973.75</v>
      </c>
      <c r="F8" s="139">
        <f t="shared" si="0"/>
        <v>-40226.25</v>
      </c>
      <c r="G8" s="139">
        <f t="shared" si="2"/>
        <v>-909319.0625</v>
      </c>
      <c r="H8" s="140">
        <f t="shared" si="1"/>
        <v>909319.0625</v>
      </c>
    </row>
    <row r="9" spans="1:16" ht="20.05" customHeight="1" x14ac:dyDescent="0.55000000000000004">
      <c r="B9" s="137">
        <v>2</v>
      </c>
      <c r="C9" s="138" t="s">
        <v>35</v>
      </c>
      <c r="D9" s="139">
        <f>CostExpense!I19</f>
        <v>94200</v>
      </c>
      <c r="E9" s="139">
        <f>SalesForecast!I15</f>
        <v>67379.714339615632</v>
      </c>
      <c r="F9" s="139">
        <f t="shared" si="0"/>
        <v>-26820.285660384368</v>
      </c>
      <c r="G9" s="139">
        <f t="shared" si="2"/>
        <v>-936139.34816038434</v>
      </c>
      <c r="H9" s="140">
        <f t="shared" si="1"/>
        <v>936139.34816038434</v>
      </c>
    </row>
    <row r="10" spans="1:16" ht="20.05" customHeight="1" x14ac:dyDescent="0.55000000000000004">
      <c r="B10" s="164">
        <v>2</v>
      </c>
      <c r="C10" s="165" t="s">
        <v>36</v>
      </c>
      <c r="D10" s="166">
        <f>CostExpense!J19</f>
        <v>648000</v>
      </c>
      <c r="E10" s="166">
        <f>SalesForecast!J15</f>
        <v>115169.53125</v>
      </c>
      <c r="F10" s="166">
        <f t="shared" si="0"/>
        <v>-532830.46875</v>
      </c>
      <c r="G10" s="166">
        <f t="shared" si="2"/>
        <v>-1468969.8169103842</v>
      </c>
      <c r="H10" s="167">
        <f t="shared" si="1"/>
        <v>1468969.8169103842</v>
      </c>
      <c r="P10" s="1"/>
    </row>
    <row r="11" spans="1:16" ht="20.05" customHeight="1" x14ac:dyDescent="0.55000000000000004">
      <c r="B11" s="141">
        <v>3</v>
      </c>
      <c r="C11" s="142" t="s">
        <v>33</v>
      </c>
      <c r="D11" s="143">
        <f>CostExpense!K19</f>
        <v>196930</v>
      </c>
      <c r="E11" s="143">
        <f>SalesForecast!K15</f>
        <v>122301.5625</v>
      </c>
      <c r="F11" s="143">
        <f t="shared" si="0"/>
        <v>-74628.4375</v>
      </c>
      <c r="G11" s="143">
        <f t="shared" si="2"/>
        <v>-1543598.2544103842</v>
      </c>
      <c r="H11" s="144">
        <f t="shared" si="1"/>
        <v>1543598.2544103842</v>
      </c>
      <c r="P11" s="1"/>
    </row>
    <row r="12" spans="1:16" ht="20.05" customHeight="1" x14ac:dyDescent="0.55000000000000004">
      <c r="B12" s="141">
        <v>3</v>
      </c>
      <c r="C12" s="142" t="s">
        <v>34</v>
      </c>
      <c r="D12" s="143">
        <f>CostExpense!L19</f>
        <v>152500</v>
      </c>
      <c r="E12" s="143">
        <f>SalesForecast!L15</f>
        <v>129658.59375</v>
      </c>
      <c r="F12" s="143">
        <f t="shared" si="0"/>
        <v>-22841.40625</v>
      </c>
      <c r="G12" s="143">
        <f t="shared" si="2"/>
        <v>-1566439.6606603842</v>
      </c>
      <c r="H12" s="144">
        <f t="shared" si="1"/>
        <v>1566439.6606603842</v>
      </c>
      <c r="P12" s="1"/>
    </row>
    <row r="13" spans="1:16" ht="20.05" customHeight="1" x14ac:dyDescent="0.55000000000000004">
      <c r="B13" s="141">
        <v>3</v>
      </c>
      <c r="C13" s="142" t="s">
        <v>35</v>
      </c>
      <c r="D13" s="143">
        <f>CostExpense!M19</f>
        <v>152500</v>
      </c>
      <c r="E13" s="143">
        <f>SalesForecast!M15</f>
        <v>169294.74115316008</v>
      </c>
      <c r="F13" s="143">
        <f t="shared" si="0"/>
        <v>16794.741153160081</v>
      </c>
      <c r="G13" s="143">
        <f t="shared" si="2"/>
        <v>-1549644.9195072241</v>
      </c>
      <c r="H13" s="144">
        <f t="shared" si="1"/>
        <v>1549644.9195072241</v>
      </c>
      <c r="P13" s="1"/>
    </row>
    <row r="14" spans="1:16" ht="20.05" customHeight="1" x14ac:dyDescent="0.55000000000000004">
      <c r="B14" s="160">
        <v>3</v>
      </c>
      <c r="C14" s="161" t="s">
        <v>36</v>
      </c>
      <c r="D14" s="162">
        <f>CostExpense!N19</f>
        <v>881140</v>
      </c>
      <c r="E14" s="162">
        <f>SalesForecast!N15</f>
        <v>404971.875</v>
      </c>
      <c r="F14" s="162">
        <f t="shared" si="0"/>
        <v>-476168.125</v>
      </c>
      <c r="G14" s="162">
        <f t="shared" si="2"/>
        <v>-2025813.0445072241</v>
      </c>
      <c r="H14" s="163">
        <f t="shared" si="1"/>
        <v>2025813.0445072241</v>
      </c>
      <c r="P14" s="1"/>
    </row>
    <row r="15" spans="1:16" ht="20.05" customHeight="1" x14ac:dyDescent="0.55000000000000004">
      <c r="B15" s="145">
        <v>4</v>
      </c>
      <c r="C15" s="146" t="s">
        <v>33</v>
      </c>
      <c r="D15" s="147">
        <f>CostExpense!O19</f>
        <v>428093</v>
      </c>
      <c r="E15" s="147">
        <f>SalesForecast!O15</f>
        <v>605657.8125</v>
      </c>
      <c r="F15" s="147">
        <f t="shared" si="0"/>
        <v>177564.8125</v>
      </c>
      <c r="G15" s="147">
        <f t="shared" si="2"/>
        <v>-1848248.2320072241</v>
      </c>
      <c r="H15" s="148">
        <f t="shared" si="1"/>
        <v>1848248.2320072241</v>
      </c>
      <c r="P15" s="1"/>
    </row>
    <row r="16" spans="1:16" ht="20.05" customHeight="1" x14ac:dyDescent="0.55000000000000004">
      <c r="B16" s="145">
        <v>4</v>
      </c>
      <c r="C16" s="146" t="s">
        <v>34</v>
      </c>
      <c r="D16" s="147">
        <f>CostExpense!P19</f>
        <v>357550</v>
      </c>
      <c r="E16" s="147">
        <f>SalesForecast!P15</f>
        <v>806343.75</v>
      </c>
      <c r="F16" s="147">
        <f t="shared" si="0"/>
        <v>448793.75</v>
      </c>
      <c r="G16" s="147">
        <f t="shared" si="2"/>
        <v>-1399454.4820072241</v>
      </c>
      <c r="H16" s="148">
        <f t="shared" si="1"/>
        <v>1399454.4820072241</v>
      </c>
      <c r="P16" s="1"/>
    </row>
    <row r="17" spans="2:16" ht="20.05" customHeight="1" x14ac:dyDescent="0.55000000000000004">
      <c r="B17" s="145">
        <v>4</v>
      </c>
      <c r="C17" s="146" t="s">
        <v>35</v>
      </c>
      <c r="D17" s="147">
        <f>CostExpense!Q19</f>
        <v>357550</v>
      </c>
      <c r="E17" s="147">
        <f>SalesForecast!Q15</f>
        <v>944594.11014133284</v>
      </c>
      <c r="F17" s="147">
        <f t="shared" si="0"/>
        <v>587044.11014133284</v>
      </c>
      <c r="G17" s="147">
        <f t="shared" si="2"/>
        <v>-812410.37186589127</v>
      </c>
      <c r="H17" s="148">
        <f t="shared" si="1"/>
        <v>812410.37186589127</v>
      </c>
      <c r="P17" s="1"/>
    </row>
    <row r="18" spans="2:16" ht="20.05" customHeight="1" x14ac:dyDescent="0.55000000000000004">
      <c r="B18" s="156">
        <v>4</v>
      </c>
      <c r="C18" s="157" t="s">
        <v>36</v>
      </c>
      <c r="D18" s="158">
        <f>CostExpense!R19</f>
        <v>1294472</v>
      </c>
      <c r="E18" s="158">
        <f>SalesForecast!R15</f>
        <v>1141570.3125</v>
      </c>
      <c r="F18" s="158">
        <f t="shared" si="0"/>
        <v>-152901.6875</v>
      </c>
      <c r="G18" s="158">
        <f t="shared" si="2"/>
        <v>-965312.05936589127</v>
      </c>
      <c r="H18" s="159">
        <f t="shared" si="1"/>
        <v>965312.05936589127</v>
      </c>
      <c r="P18" s="1"/>
    </row>
    <row r="19" spans="2:16" ht="20.05" customHeight="1" x14ac:dyDescent="0.55000000000000004">
      <c r="B19" s="149">
        <v>5</v>
      </c>
      <c r="C19" s="150" t="s">
        <v>33</v>
      </c>
      <c r="D19" s="151">
        <f>CostExpense!S19</f>
        <v>492192</v>
      </c>
      <c r="E19" s="151">
        <f>SalesForecast!S15</f>
        <v>1275435.9375</v>
      </c>
      <c r="F19" s="151">
        <f t="shared" si="0"/>
        <v>783243.9375</v>
      </c>
      <c r="G19" s="151">
        <f t="shared" si="2"/>
        <v>-182068.12186589127</v>
      </c>
      <c r="H19" s="152">
        <f t="shared" si="1"/>
        <v>182068.12186589127</v>
      </c>
      <c r="P19" s="1"/>
    </row>
    <row r="20" spans="2:16" ht="20.05" customHeight="1" x14ac:dyDescent="0.55000000000000004">
      <c r="B20" s="149">
        <v>5</v>
      </c>
      <c r="C20" s="150" t="s">
        <v>34</v>
      </c>
      <c r="D20" s="151">
        <f>CostExpense!T19</f>
        <v>382050</v>
      </c>
      <c r="E20" s="151">
        <f>SalesForecast!T15</f>
        <v>1342706.25</v>
      </c>
      <c r="F20" s="151">
        <f t="shared" si="0"/>
        <v>960656.25</v>
      </c>
      <c r="G20" s="151">
        <f t="shared" si="2"/>
        <v>778588.12813410873</v>
      </c>
      <c r="H20" s="152">
        <f t="shared" si="1"/>
        <v>382050</v>
      </c>
    </row>
    <row r="21" spans="2:16" ht="20.05" customHeight="1" x14ac:dyDescent="0.55000000000000004">
      <c r="B21" s="149">
        <v>5</v>
      </c>
      <c r="C21" s="150" t="s">
        <v>35</v>
      </c>
      <c r="D21" s="151">
        <f>CostExpense!U19</f>
        <v>382050</v>
      </c>
      <c r="E21" s="151">
        <f>SalesForecast!U15</f>
        <v>1472636.3891537464</v>
      </c>
      <c r="F21" s="151">
        <f t="shared" si="0"/>
        <v>1090586.3891537464</v>
      </c>
      <c r="G21" s="151">
        <f t="shared" si="2"/>
        <v>1869174.517287855</v>
      </c>
      <c r="H21" s="152">
        <f t="shared" si="1"/>
        <v>382050</v>
      </c>
    </row>
    <row r="22" spans="2:16" ht="20.05" customHeight="1" thickBot="1" x14ac:dyDescent="0.6">
      <c r="B22" s="149">
        <v>5</v>
      </c>
      <c r="C22" s="153" t="s">
        <v>36</v>
      </c>
      <c r="D22" s="154">
        <f>CostExpense!V19</f>
        <v>1598748.6</v>
      </c>
      <c r="E22" s="154">
        <f>SalesForecast!V15</f>
        <v>1731164.0625</v>
      </c>
      <c r="F22" s="154">
        <f t="shared" si="0"/>
        <v>132415.46249999991</v>
      </c>
      <c r="G22" s="154">
        <f t="shared" si="2"/>
        <v>2001589.9797878549</v>
      </c>
      <c r="H22" s="155">
        <f t="shared" si="1"/>
        <v>1598748.6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Q18"/>
  <sheetViews>
    <sheetView workbookViewId="0">
      <selection activeCell="R22" sqref="R22"/>
    </sheetView>
  </sheetViews>
  <sheetFormatPr defaultRowHeight="14.4" x14ac:dyDescent="0.55000000000000004"/>
  <cols>
    <col min="1" max="1" width="14.5234375" customWidth="1"/>
    <col min="2" max="4" width="8.89453125" bestFit="1" customWidth="1"/>
    <col min="5" max="6" width="9.62890625" bestFit="1" customWidth="1"/>
    <col min="7" max="10" width="10.62890625" bestFit="1" customWidth="1"/>
    <col min="11" max="11" width="14.15625" customWidth="1"/>
    <col min="15" max="15" width="10.578125" bestFit="1" customWidth="1"/>
  </cols>
  <sheetData>
    <row r="1" spans="1:17" s="1" customFormat="1" x14ac:dyDescent="0.55000000000000004">
      <c r="A1" s="12" t="s">
        <v>32</v>
      </c>
      <c r="B1" s="12">
        <v>1</v>
      </c>
      <c r="C1" s="12">
        <v>2</v>
      </c>
      <c r="D1" s="12">
        <v>3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</row>
    <row r="2" spans="1:17" s="1" customFormat="1" x14ac:dyDescent="0.55000000000000004">
      <c r="A2" s="1" t="s">
        <v>17</v>
      </c>
      <c r="C2" s="1">
        <v>1000000</v>
      </c>
      <c r="D2" s="1">
        <v>4000000</v>
      </c>
      <c r="E2" s="1">
        <v>42000000</v>
      </c>
      <c r="F2" s="1">
        <v>78000000</v>
      </c>
      <c r="G2" s="1">
        <v>116000000</v>
      </c>
      <c r="H2" s="1">
        <v>174000000</v>
      </c>
      <c r="I2" s="1">
        <v>238000000</v>
      </c>
      <c r="J2" s="1">
        <v>313000000</v>
      </c>
      <c r="K2" s="1">
        <v>380000000</v>
      </c>
    </row>
    <row r="3" spans="1:17" s="1" customFormat="1" x14ac:dyDescent="0.55000000000000004">
      <c r="A3" s="1" t="s">
        <v>18</v>
      </c>
      <c r="C3" s="1">
        <v>1200000</v>
      </c>
      <c r="D3" s="6">
        <f>2000000</f>
        <v>2000000</v>
      </c>
      <c r="E3" s="1">
        <f>2*1000000*12</f>
        <v>24000000</v>
      </c>
      <c r="F3" s="6">
        <f>3.5*1000000*12</f>
        <v>42000000</v>
      </c>
      <c r="G3" s="6">
        <f>F3+((H3-F3)/(H1-F1))</f>
        <v>45000000</v>
      </c>
      <c r="H3" s="1">
        <f>4*1000000*12</f>
        <v>48000000</v>
      </c>
      <c r="I3" s="1">
        <f>5*1000000*12</f>
        <v>60000000</v>
      </c>
      <c r="J3" s="1">
        <f>6*1000000*12</f>
        <v>72000000</v>
      </c>
      <c r="K3" s="1">
        <f>10*1000000*12</f>
        <v>120000000</v>
      </c>
    </row>
    <row r="4" spans="1:17" s="1" customFormat="1" x14ac:dyDescent="0.55000000000000004">
      <c r="A4" s="1" t="s">
        <v>19</v>
      </c>
      <c r="C4" s="1">
        <f>1*1000000</f>
        <v>1000000</v>
      </c>
      <c r="D4" s="1">
        <f>4*1000000</f>
        <v>4000000</v>
      </c>
      <c r="E4" s="1">
        <f>6*1000000</f>
        <v>6000000</v>
      </c>
      <c r="F4" s="6">
        <f>11*1000000</f>
        <v>11000000</v>
      </c>
      <c r="G4" s="6">
        <f>18*1000000</f>
        <v>18000000</v>
      </c>
      <c r="H4" s="1">
        <f>37.3*1000000</f>
        <v>37300000</v>
      </c>
      <c r="I4" s="1">
        <f>46.4*1000000</f>
        <v>46400000</v>
      </c>
      <c r="J4" s="1">
        <f>76.6*1000000</f>
        <v>76600000</v>
      </c>
      <c r="K4" s="1">
        <f>92*1000000</f>
        <v>92000000</v>
      </c>
    </row>
    <row r="5" spans="1:17" s="1" customFormat="1" x14ac:dyDescent="0.55000000000000004">
      <c r="A5" s="1" t="s">
        <v>20</v>
      </c>
      <c r="C5" s="1">
        <f>D5/((E5-D5)/D5)</f>
        <v>5716302.0465772757</v>
      </c>
      <c r="D5" s="1">
        <f>9*1000000</f>
        <v>9000000</v>
      </c>
      <c r="E5" s="1">
        <f>23.17*1000000</f>
        <v>23170000</v>
      </c>
      <c r="F5" s="6">
        <f>E5+(H5-E5)/(H1-E1)</f>
        <v>27446666.666666668</v>
      </c>
      <c r="G5" s="6">
        <f>F5+(H5-F5)/(H1-F1)</f>
        <v>31723333.333333336</v>
      </c>
      <c r="H5" s="1">
        <f>3*1000000*12</f>
        <v>36000000</v>
      </c>
      <c r="I5" s="1">
        <f>40*1000000*12</f>
        <v>480000000</v>
      </c>
      <c r="J5" s="1">
        <f>50*1000000*12</f>
        <v>600000000</v>
      </c>
      <c r="K5" s="1">
        <f>46.6*1000000*12</f>
        <v>559200000</v>
      </c>
    </row>
    <row r="6" spans="1:17" s="1" customFormat="1" x14ac:dyDescent="0.55000000000000004">
      <c r="A6" s="2" t="s">
        <v>21</v>
      </c>
      <c r="B6" s="2">
        <v>0</v>
      </c>
      <c r="C6" s="2">
        <v>100000</v>
      </c>
      <c r="D6" s="2">
        <f t="shared" ref="D6:K6" si="0">C6+C6*C13</f>
        <v>248623.03982917138</v>
      </c>
      <c r="E6" s="2">
        <f t="shared" si="0"/>
        <v>1406243.9965814585</v>
      </c>
      <c r="F6" s="2">
        <f t="shared" si="0"/>
        <v>2194434.2724946504</v>
      </c>
      <c r="G6" s="2">
        <f t="shared" si="0"/>
        <v>2803800.2958752131</v>
      </c>
      <c r="H6" s="2">
        <f t="shared" si="0"/>
        <v>3878850.7688576737</v>
      </c>
      <c r="I6" s="2">
        <f t="shared" si="0"/>
        <v>11187710.17603974</v>
      </c>
      <c r="J6" s="2">
        <f t="shared" si="0"/>
        <v>14515847.705218837</v>
      </c>
      <c r="K6" s="2">
        <f t="shared" si="0"/>
        <v>18021611.140557796</v>
      </c>
    </row>
    <row r="7" spans="1:17" s="1" customFormat="1" x14ac:dyDescent="0.55000000000000004">
      <c r="A7" s="2" t="s">
        <v>103</v>
      </c>
      <c r="B7" s="2">
        <v>0</v>
      </c>
      <c r="C7" s="2">
        <v>100</v>
      </c>
      <c r="D7" s="2">
        <f>C7+C7*C13</f>
        <v>248.62303982917138</v>
      </c>
      <c r="E7" s="2">
        <f t="shared" ref="E7:K7" si="1">D7+D7*D13</f>
        <v>1406.2439965814585</v>
      </c>
      <c r="F7" s="2">
        <f t="shared" si="1"/>
        <v>2194.43427249465</v>
      </c>
      <c r="G7" s="2">
        <f t="shared" si="1"/>
        <v>2803.8002958752127</v>
      </c>
      <c r="H7" s="2">
        <f t="shared" si="1"/>
        <v>3878.8507688576738</v>
      </c>
      <c r="I7" s="2">
        <f t="shared" si="1"/>
        <v>11187.71017603974</v>
      </c>
      <c r="J7" s="2">
        <f t="shared" si="1"/>
        <v>14515.847705218835</v>
      </c>
      <c r="K7" s="2">
        <f t="shared" si="1"/>
        <v>18021.611140557794</v>
      </c>
    </row>
    <row r="8" spans="1:17" x14ac:dyDescent="0.55000000000000004">
      <c r="A8" s="21"/>
      <c r="B8" s="21"/>
      <c r="C8" s="21"/>
      <c r="D8" s="21"/>
      <c r="E8" s="21"/>
      <c r="F8" s="21"/>
      <c r="G8" s="21"/>
      <c r="H8" s="21"/>
      <c r="I8" s="21"/>
      <c r="J8" s="21"/>
      <c r="K8" s="28" t="s">
        <v>22</v>
      </c>
      <c r="L8" s="28" t="s">
        <v>23</v>
      </c>
      <c r="M8" s="28" t="s">
        <v>24</v>
      </c>
      <c r="N8" s="28" t="s">
        <v>25</v>
      </c>
      <c r="O8" s="28" t="s">
        <v>26</v>
      </c>
      <c r="P8" s="28" t="s">
        <v>27</v>
      </c>
      <c r="Q8" s="28" t="s">
        <v>28</v>
      </c>
    </row>
    <row r="9" spans="1:17" x14ac:dyDescent="0.55000000000000004">
      <c r="A9" s="28" t="s">
        <v>17</v>
      </c>
      <c r="B9" s="28"/>
      <c r="C9" s="53">
        <f>(D2-C2)/C2</f>
        <v>3</v>
      </c>
      <c r="D9" s="53">
        <f>(E2-D2)/D2</f>
        <v>9.5</v>
      </c>
      <c r="E9" s="53">
        <f t="shared" ref="E9:J9" si="2">(F2-E2)/E2</f>
        <v>0.8571428571428571</v>
      </c>
      <c r="F9" s="53">
        <f t="shared" si="2"/>
        <v>0.48717948717948717</v>
      </c>
      <c r="G9" s="53">
        <f t="shared" si="2"/>
        <v>0.5</v>
      </c>
      <c r="H9" s="53">
        <f t="shared" si="2"/>
        <v>0.36781609195402298</v>
      </c>
      <c r="I9" s="53">
        <f t="shared" si="2"/>
        <v>0.31512605042016806</v>
      </c>
      <c r="J9" s="53">
        <f t="shared" si="2"/>
        <v>0.21405750798722045</v>
      </c>
      <c r="K9" s="53">
        <f>AVERAGE(C9:J9)</f>
        <v>1.9051652493354696</v>
      </c>
      <c r="L9" s="53">
        <f>_xlfn.STDEV.P(C9:J9)</f>
        <v>2.9940610889299477</v>
      </c>
      <c r="M9" s="53">
        <f>POWER(L9,2)</f>
        <v>8.9644018042443836</v>
      </c>
      <c r="N9" s="53">
        <f>1/M9</f>
        <v>0.11155234022715593</v>
      </c>
      <c r="O9" s="53">
        <f>N9/$N$13</f>
        <v>6.678255595690194E-2</v>
      </c>
      <c r="P9" s="53">
        <v>0.1</v>
      </c>
      <c r="Q9" s="53">
        <f>O9+P9</f>
        <v>0.16678255595690195</v>
      </c>
    </row>
    <row r="10" spans="1:17" x14ac:dyDescent="0.55000000000000004">
      <c r="A10" s="28" t="s">
        <v>18</v>
      </c>
      <c r="B10" s="28"/>
      <c r="C10" s="53">
        <f>(D3-C3)/C3</f>
        <v>0.66666666666666663</v>
      </c>
      <c r="D10" s="53">
        <f t="shared" ref="D10:J12" si="3">(E3-D3)/D3</f>
        <v>11</v>
      </c>
      <c r="E10" s="53">
        <f t="shared" si="3"/>
        <v>0.75</v>
      </c>
      <c r="F10" s="53">
        <f t="shared" si="3"/>
        <v>7.1428571428571425E-2</v>
      </c>
      <c r="G10" s="53">
        <f t="shared" si="3"/>
        <v>6.6666666666666666E-2</v>
      </c>
      <c r="H10" s="53">
        <f t="shared" si="3"/>
        <v>0.25</v>
      </c>
      <c r="I10" s="53">
        <f t="shared" si="3"/>
        <v>0.2</v>
      </c>
      <c r="J10" s="53">
        <f t="shared" si="3"/>
        <v>0.66666666666666663</v>
      </c>
      <c r="K10" s="53">
        <f t="shared" ref="K10:K12" si="4">AVERAGE(C10:J10)</f>
        <v>1.7089285714285711</v>
      </c>
      <c r="L10" s="53">
        <f t="shared" ref="L10:L12" si="5">_xlfn.STDEV.P(C10:J10)</f>
        <v>3.5213623158550176</v>
      </c>
      <c r="M10" s="53">
        <f t="shared" ref="M10:M12" si="6">POWER(L10,2)</f>
        <v>12.399992559523813</v>
      </c>
      <c r="N10" s="53">
        <f t="shared" ref="N10:N12" si="7">1/M10</f>
        <v>8.0645209680545338E-2</v>
      </c>
      <c r="O10" s="53">
        <f t="shared" ref="O10:O12" si="8">N10/$N$13</f>
        <v>4.8279518091508704E-2</v>
      </c>
      <c r="P10" s="53">
        <v>0.2</v>
      </c>
      <c r="Q10" s="53">
        <f t="shared" ref="Q10:Q12" si="9">O10+P10</f>
        <v>0.24827951809150872</v>
      </c>
    </row>
    <row r="11" spans="1:17" x14ac:dyDescent="0.55000000000000004">
      <c r="A11" s="28" t="s">
        <v>19</v>
      </c>
      <c r="B11" s="28"/>
      <c r="C11" s="53">
        <f>(D4-C4)/C4</f>
        <v>3</v>
      </c>
      <c r="D11" s="53">
        <f t="shared" si="3"/>
        <v>0.5</v>
      </c>
      <c r="E11" s="53">
        <f t="shared" si="3"/>
        <v>0.83333333333333337</v>
      </c>
      <c r="F11" s="53">
        <f t="shared" si="3"/>
        <v>0.63636363636363635</v>
      </c>
      <c r="G11" s="53">
        <f t="shared" si="3"/>
        <v>1.0722222222222222</v>
      </c>
      <c r="H11" s="53">
        <f t="shared" si="3"/>
        <v>0.24396782841823056</v>
      </c>
      <c r="I11" s="53">
        <f t="shared" si="3"/>
        <v>0.65086206896551724</v>
      </c>
      <c r="J11" s="53">
        <f t="shared" si="3"/>
        <v>0.20104438642297651</v>
      </c>
      <c r="K11" s="53">
        <f t="shared" si="4"/>
        <v>0.89222418446573948</v>
      </c>
      <c r="L11" s="53">
        <f t="shared" si="5"/>
        <v>0.84069258892791021</v>
      </c>
      <c r="M11" s="53">
        <f t="shared" si="6"/>
        <v>0.70676402907831226</v>
      </c>
      <c r="N11" s="53">
        <f t="shared" si="7"/>
        <v>1.4148993990315204</v>
      </c>
      <c r="O11" s="53">
        <f t="shared" si="8"/>
        <v>0.84705168978792034</v>
      </c>
      <c r="P11" s="53">
        <f>SUM(P9,P10,P12)-1</f>
        <v>-0.6</v>
      </c>
      <c r="Q11" s="53">
        <f t="shared" si="9"/>
        <v>0.24705168978792036</v>
      </c>
    </row>
    <row r="12" spans="1:17" x14ac:dyDescent="0.55000000000000004">
      <c r="A12" s="28" t="s">
        <v>20</v>
      </c>
      <c r="B12" s="28"/>
      <c r="C12" s="53">
        <f>(D5-C5)/C5</f>
        <v>0.57444444444444454</v>
      </c>
      <c r="D12" s="53">
        <f t="shared" si="3"/>
        <v>1.5744444444444445</v>
      </c>
      <c r="E12" s="53">
        <f t="shared" si="3"/>
        <v>0.18457775859588554</v>
      </c>
      <c r="F12" s="53">
        <f t="shared" si="3"/>
        <v>0.15581734272528544</v>
      </c>
      <c r="G12" s="53">
        <f t="shared" si="3"/>
        <v>0.13481139014395283</v>
      </c>
      <c r="H12" s="53">
        <f t="shared" si="3"/>
        <v>12.333333333333334</v>
      </c>
      <c r="I12" s="53">
        <f t="shared" si="3"/>
        <v>0.25</v>
      </c>
      <c r="J12" s="53">
        <f t="shared" si="3"/>
        <v>-6.8000000000000005E-2</v>
      </c>
      <c r="K12" s="53">
        <f t="shared" si="4"/>
        <v>1.8924285892109183</v>
      </c>
      <c r="L12" s="53">
        <f t="shared" si="5"/>
        <v>3.9751309918916253</v>
      </c>
      <c r="M12" s="53">
        <f t="shared" si="6"/>
        <v>15.801666402697297</v>
      </c>
      <c r="N12" s="53">
        <f t="shared" si="7"/>
        <v>6.328446472134755E-2</v>
      </c>
      <c r="O12" s="53">
        <f t="shared" si="8"/>
        <v>3.7886236163668964E-2</v>
      </c>
      <c r="P12" s="53">
        <v>0.1</v>
      </c>
      <c r="Q12" s="53">
        <f t="shared" si="9"/>
        <v>0.13788623616366896</v>
      </c>
    </row>
    <row r="13" spans="1:17" x14ac:dyDescent="0.55000000000000004">
      <c r="A13" s="28" t="s">
        <v>29</v>
      </c>
      <c r="B13" s="28"/>
      <c r="C13" s="53">
        <f t="shared" ref="C13:J13" si="10">C9*$Q$9+C10*$Q$10+C11*$Q$11+C12*$Q$12</f>
        <v>1.4862303982917138</v>
      </c>
      <c r="D13" s="53">
        <f t="shared" si="10"/>
        <v>4.6561290439843681</v>
      </c>
      <c r="E13" s="53">
        <f t="shared" si="10"/>
        <v>0.56049325567203212</v>
      </c>
      <c r="F13" s="53">
        <f t="shared" si="10"/>
        <v>0.2776870699744543</v>
      </c>
      <c r="G13" s="53">
        <f t="shared" si="10"/>
        <v>0.38342619285831886</v>
      </c>
      <c r="H13" s="53">
        <f t="shared" si="10"/>
        <v>1.884284764410912</v>
      </c>
      <c r="I13" s="53">
        <f t="shared" si="10"/>
        <v>0.2974815647536912</v>
      </c>
      <c r="J13" s="53">
        <f t="shared" si="10"/>
        <v>0.24151282836058852</v>
      </c>
      <c r="K13" s="53"/>
      <c r="L13" s="53"/>
      <c r="M13" s="53"/>
      <c r="N13" s="53">
        <f>SUM(N9:N12)</f>
        <v>1.6703814136605692</v>
      </c>
      <c r="O13" s="53"/>
      <c r="P13" s="53"/>
      <c r="Q13" s="53"/>
    </row>
    <row r="15" spans="1:17" x14ac:dyDescent="0.55000000000000004">
      <c r="K15" s="4" t="s">
        <v>30</v>
      </c>
    </row>
    <row r="16" spans="1:17" x14ac:dyDescent="0.55000000000000004">
      <c r="K16" s="3" t="s">
        <v>31</v>
      </c>
    </row>
    <row r="18" spans="1:1" x14ac:dyDescent="0.55000000000000004">
      <c r="A1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U5"/>
  <sheetViews>
    <sheetView zoomScale="70" zoomScaleNormal="70" workbookViewId="0">
      <selection activeCell="L4" sqref="L4"/>
    </sheetView>
  </sheetViews>
  <sheetFormatPr defaultRowHeight="14.4" x14ac:dyDescent="0.55000000000000004"/>
  <cols>
    <col min="1" max="1" width="13.578125" style="21" customWidth="1"/>
    <col min="2" max="16384" width="8.83984375" style="21"/>
  </cols>
  <sheetData>
    <row r="1" spans="1:21" x14ac:dyDescent="0.55000000000000004">
      <c r="B1" s="205" t="str">
        <f>HRRampUp!C2</f>
        <v>Year 1</v>
      </c>
      <c r="C1" s="206"/>
      <c r="D1" s="206"/>
      <c r="E1" s="206"/>
      <c r="F1" s="207" t="str">
        <f>HRRampUp!G2</f>
        <v>Year 2</v>
      </c>
      <c r="G1" s="207"/>
      <c r="H1" s="207"/>
      <c r="I1" s="207"/>
      <c r="J1" s="208" t="str">
        <f>HRRampUp!K2</f>
        <v>Year 3</v>
      </c>
      <c r="K1" s="208"/>
      <c r="L1" s="208"/>
      <c r="M1" s="208"/>
      <c r="N1" s="209" t="str">
        <f>HRRampUp!O2</f>
        <v>Year 4</v>
      </c>
      <c r="O1" s="209"/>
      <c r="P1" s="209"/>
      <c r="Q1" s="209"/>
      <c r="R1" s="210" t="str">
        <f>HRRampUp!S2</f>
        <v>Year 5</v>
      </c>
      <c r="S1" s="210"/>
      <c r="T1" s="210"/>
      <c r="U1" s="211"/>
    </row>
    <row r="2" spans="1:21" x14ac:dyDescent="0.55000000000000004">
      <c r="B2" s="40" t="str">
        <f>HRRampUp!C3</f>
        <v>Q1</v>
      </c>
      <c r="C2" s="40" t="str">
        <f>HRRampUp!D3</f>
        <v>Q2</v>
      </c>
      <c r="D2" s="40" t="str">
        <f>HRRampUp!E3</f>
        <v>Q3</v>
      </c>
      <c r="E2" s="40" t="str">
        <f>HRRampUp!F3</f>
        <v>Q4</v>
      </c>
      <c r="F2" s="41" t="str">
        <f>HRRampUp!G3</f>
        <v>Q1</v>
      </c>
      <c r="G2" s="41" t="str">
        <f>HRRampUp!H3</f>
        <v>Q2</v>
      </c>
      <c r="H2" s="41" t="str">
        <f>HRRampUp!I3</f>
        <v>Q3</v>
      </c>
      <c r="I2" s="41" t="str">
        <f>HRRampUp!J3</f>
        <v>Q4</v>
      </c>
      <c r="J2" s="42" t="str">
        <f>HRRampUp!K3</f>
        <v>Q1</v>
      </c>
      <c r="K2" s="42" t="str">
        <f>HRRampUp!L3</f>
        <v>Q2</v>
      </c>
      <c r="L2" s="42" t="str">
        <f>HRRampUp!M3</f>
        <v>Q3</v>
      </c>
      <c r="M2" s="42" t="str">
        <f>HRRampUp!N3</f>
        <v>Q4</v>
      </c>
      <c r="N2" s="38" t="str">
        <f>HRRampUp!O3</f>
        <v>Q1</v>
      </c>
      <c r="O2" s="38" t="str">
        <f>HRRampUp!P3</f>
        <v>Q2</v>
      </c>
      <c r="P2" s="38" t="str">
        <f>HRRampUp!Q3</f>
        <v>Q3</v>
      </c>
      <c r="Q2" s="38" t="str">
        <f>HRRampUp!R3</f>
        <v>Q4</v>
      </c>
      <c r="R2" s="43" t="str">
        <f>HRRampUp!S3</f>
        <v>Q1</v>
      </c>
      <c r="S2" s="43" t="str">
        <f>HRRampUp!T3</f>
        <v>Q2</v>
      </c>
      <c r="T2" s="43" t="str">
        <f>HRRampUp!U3</f>
        <v>Q3</v>
      </c>
      <c r="U2" s="43" t="str">
        <f>HRRampUp!V3</f>
        <v>Q4</v>
      </c>
    </row>
    <row r="3" spans="1:21" s="1" customFormat="1" x14ac:dyDescent="0.55000000000000004">
      <c r="A3" s="1" t="s">
        <v>102</v>
      </c>
      <c r="B3" s="1">
        <f>UserBenchmarking_Raw!$B$6</f>
        <v>0</v>
      </c>
      <c r="C3" s="1">
        <f>UserBenchmarking_Raw!$B$6</f>
        <v>0</v>
      </c>
      <c r="D3" s="1">
        <f>UserBenchmarking_Raw!$B$6</f>
        <v>0</v>
      </c>
      <c r="E3" s="1">
        <v>10000</v>
      </c>
      <c r="F3" s="1">
        <v>50000</v>
      </c>
      <c r="G3" s="1">
        <v>80000</v>
      </c>
      <c r="H3" s="1">
        <f>UserBenchmarking_Raw!C6</f>
        <v>100000</v>
      </c>
      <c r="I3" s="1">
        <v>170000</v>
      </c>
      <c r="J3" s="1">
        <v>180000</v>
      </c>
      <c r="K3" s="1">
        <v>190000</v>
      </c>
      <c r="L3" s="1">
        <f>UserBenchmarking_Raw!D6</f>
        <v>248623.03982917138</v>
      </c>
      <c r="M3" s="1">
        <v>600000</v>
      </c>
      <c r="N3" s="1">
        <v>900000</v>
      </c>
      <c r="O3" s="1">
        <v>1200000</v>
      </c>
      <c r="P3" s="1">
        <f>UserBenchmarking_Raw!E6</f>
        <v>1406243.9965814585</v>
      </c>
      <c r="Q3" s="1">
        <v>1700000</v>
      </c>
      <c r="R3" s="1">
        <v>1900000</v>
      </c>
      <c r="S3" s="1">
        <v>2000000</v>
      </c>
      <c r="T3" s="1">
        <f>UserBenchmarking_Raw!F6</f>
        <v>2194434.2724946504</v>
      </c>
      <c r="U3" s="1">
        <v>2580000</v>
      </c>
    </row>
    <row r="4" spans="1:21" x14ac:dyDescent="0.55000000000000004">
      <c r="A4" s="21" t="s">
        <v>16</v>
      </c>
      <c r="B4" s="1">
        <f>UserBenchmarking_Raw!$B$7</f>
        <v>0</v>
      </c>
      <c r="C4" s="1">
        <f>UserBenchmarking_Raw!$B$7</f>
        <v>0</v>
      </c>
      <c r="D4" s="1">
        <f>UserBenchmarking_Raw!$B$7</f>
        <v>0</v>
      </c>
      <c r="E4" s="1">
        <f>UserBenchmarking_Raw!C7</f>
        <v>100</v>
      </c>
      <c r="F4" s="21">
        <v>200</v>
      </c>
      <c r="G4" s="21">
        <v>230</v>
      </c>
      <c r="H4" s="1">
        <f>UserBenchmarking_Raw!D7</f>
        <v>248.62303982917138</v>
      </c>
      <c r="I4" s="21">
        <v>700</v>
      </c>
      <c r="J4" s="21">
        <v>900</v>
      </c>
      <c r="K4" s="21">
        <v>1200</v>
      </c>
      <c r="L4" s="1">
        <f>UserBenchmarking_Raw!E7</f>
        <v>1406.2439965814585</v>
      </c>
      <c r="M4" s="21">
        <v>1800</v>
      </c>
      <c r="N4" s="21">
        <v>1900</v>
      </c>
      <c r="O4" s="21">
        <v>2000</v>
      </c>
      <c r="P4" s="1">
        <f>UserBenchmarking_Raw!F7</f>
        <v>2194.43427249465</v>
      </c>
      <c r="Q4" s="21">
        <v>2500</v>
      </c>
      <c r="R4" s="21">
        <v>2600</v>
      </c>
      <c r="S4" s="21">
        <v>2800</v>
      </c>
      <c r="T4" s="1">
        <f>UserBenchmarking_Raw!G7</f>
        <v>2803.8002958752127</v>
      </c>
      <c r="U4" s="21">
        <v>3200</v>
      </c>
    </row>
    <row r="5" spans="1:21" ht="15.6" customHeight="1" x14ac:dyDescent="0.55000000000000004"/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T9"/>
  <sheetViews>
    <sheetView zoomScaleNormal="100" workbookViewId="0">
      <selection activeCell="C28" sqref="C28"/>
    </sheetView>
  </sheetViews>
  <sheetFormatPr defaultRowHeight="14.4" x14ac:dyDescent="0.55000000000000004"/>
  <cols>
    <col min="1" max="1" width="8.83984375" style="21"/>
    <col min="2" max="5" width="9.62890625" style="21" bestFit="1" customWidth="1"/>
    <col min="6" max="9" width="11.1015625" style="21" bestFit="1" customWidth="1"/>
    <col min="10" max="10" width="11.3671875" style="21" customWidth="1"/>
    <col min="11" max="16384" width="8.83984375" style="21"/>
  </cols>
  <sheetData>
    <row r="1" spans="1:20" x14ac:dyDescent="0.55000000000000004">
      <c r="A1" s="21" t="s">
        <v>96</v>
      </c>
      <c r="B1" s="54">
        <v>1</v>
      </c>
      <c r="C1" s="54">
        <v>2</v>
      </c>
      <c r="D1" s="54">
        <v>3</v>
      </c>
      <c r="E1" s="54">
        <v>4</v>
      </c>
      <c r="F1" s="54">
        <v>5</v>
      </c>
      <c r="G1" s="54">
        <v>6</v>
      </c>
      <c r="H1" s="54">
        <v>7</v>
      </c>
      <c r="I1" s="54">
        <v>8</v>
      </c>
      <c r="J1" s="54">
        <v>9</v>
      </c>
      <c r="K1" s="46"/>
    </row>
    <row r="2" spans="1:20" x14ac:dyDescent="0.55000000000000004">
      <c r="B2" s="46">
        <f>$Q$3*$Q$4*$T$3+$R$5*$R$6*$T$5+$R$7*$R$8*$T$5+$S$9*$T$9</f>
        <v>426000</v>
      </c>
      <c r="C2" s="46">
        <f t="shared" ref="C2:J2" si="0">B2*(1+B6)</f>
        <v>553800</v>
      </c>
      <c r="D2" s="46">
        <f t="shared" si="0"/>
        <v>719940</v>
      </c>
      <c r="E2" s="46">
        <f t="shared" si="0"/>
        <v>935922</v>
      </c>
      <c r="F2" s="46">
        <f t="shared" si="0"/>
        <v>1216698.6000000001</v>
      </c>
      <c r="G2" s="46">
        <f t="shared" si="0"/>
        <v>1460038.32</v>
      </c>
      <c r="H2" s="46">
        <f t="shared" si="0"/>
        <v>1752045.9839999999</v>
      </c>
      <c r="I2" s="46">
        <f t="shared" si="0"/>
        <v>2102455.1807999997</v>
      </c>
      <c r="J2" s="46">
        <f t="shared" si="0"/>
        <v>2312700.69888</v>
      </c>
      <c r="K2" s="46"/>
      <c r="Q2" s="35" t="s">
        <v>84</v>
      </c>
      <c r="R2" s="36" t="s">
        <v>85</v>
      </c>
      <c r="S2" s="38" t="s">
        <v>86</v>
      </c>
      <c r="T2" s="34" t="s">
        <v>94</v>
      </c>
    </row>
    <row r="3" spans="1:20" x14ac:dyDescent="0.55000000000000004">
      <c r="B3" s="46"/>
      <c r="C3" s="46"/>
      <c r="D3" s="46"/>
      <c r="E3" s="46"/>
      <c r="F3" s="46"/>
      <c r="G3" s="46"/>
      <c r="H3" s="46"/>
      <c r="I3" s="46"/>
      <c r="J3" s="46"/>
      <c r="K3" s="46"/>
      <c r="P3" s="35" t="s">
        <v>87</v>
      </c>
      <c r="Q3" s="35">
        <v>2</v>
      </c>
      <c r="R3" s="35"/>
      <c r="S3" s="35"/>
      <c r="T3" s="35">
        <v>12</v>
      </c>
    </row>
    <row r="4" spans="1:20" x14ac:dyDescent="0.55000000000000004">
      <c r="B4" s="46"/>
      <c r="C4" s="46"/>
      <c r="D4" s="46"/>
      <c r="E4" s="46"/>
      <c r="F4" s="46"/>
      <c r="G4" s="46"/>
      <c r="H4" s="46"/>
      <c r="I4" s="46"/>
      <c r="J4" s="46"/>
      <c r="K4" s="46"/>
      <c r="P4" s="35" t="s">
        <v>93</v>
      </c>
      <c r="Q4" s="35">
        <v>10000</v>
      </c>
      <c r="R4" s="35"/>
      <c r="S4" s="35"/>
      <c r="T4" s="35"/>
    </row>
    <row r="5" spans="1:20" x14ac:dyDescent="0.55000000000000004">
      <c r="A5" s="21" t="s">
        <v>96</v>
      </c>
      <c r="B5" s="212" t="s">
        <v>95</v>
      </c>
      <c r="C5" s="212"/>
      <c r="D5" s="212"/>
      <c r="E5" s="212"/>
      <c r="F5" s="212"/>
      <c r="G5" s="212"/>
      <c r="H5" s="212"/>
      <c r="I5" s="212"/>
      <c r="J5" s="46"/>
      <c r="K5" s="46"/>
      <c r="P5" s="36" t="s">
        <v>89</v>
      </c>
      <c r="Q5" s="36"/>
      <c r="R5" s="36">
        <v>500</v>
      </c>
      <c r="S5" s="36"/>
      <c r="T5" s="36">
        <v>12</v>
      </c>
    </row>
    <row r="6" spans="1:20" x14ac:dyDescent="0.55000000000000004">
      <c r="B6" s="46">
        <v>0.3</v>
      </c>
      <c r="C6" s="46">
        <v>0.3</v>
      </c>
      <c r="D6" s="46">
        <v>0.3</v>
      </c>
      <c r="E6" s="46">
        <v>0.3</v>
      </c>
      <c r="F6" s="46">
        <v>0.2</v>
      </c>
      <c r="G6" s="46">
        <v>0.2</v>
      </c>
      <c r="H6" s="46">
        <v>0.2</v>
      </c>
      <c r="I6" s="46">
        <v>0.1</v>
      </c>
      <c r="J6" s="46"/>
      <c r="K6" s="46"/>
      <c r="P6" s="36" t="s">
        <v>91</v>
      </c>
      <c r="Q6" s="36"/>
      <c r="R6" s="36">
        <v>5</v>
      </c>
      <c r="S6" s="36"/>
      <c r="T6" s="36"/>
    </row>
    <row r="7" spans="1:20" x14ac:dyDescent="0.55000000000000004">
      <c r="P7" s="36" t="s">
        <v>90</v>
      </c>
      <c r="Q7" s="36"/>
      <c r="R7" s="36">
        <v>1000</v>
      </c>
      <c r="S7" s="36"/>
      <c r="T7" s="36"/>
    </row>
    <row r="8" spans="1:20" x14ac:dyDescent="0.55000000000000004">
      <c r="P8" s="36" t="s">
        <v>92</v>
      </c>
      <c r="Q8" s="36"/>
      <c r="R8" s="36">
        <v>3</v>
      </c>
      <c r="S8" s="36"/>
      <c r="T8" s="36"/>
    </row>
    <row r="9" spans="1:20" x14ac:dyDescent="0.55000000000000004">
      <c r="P9" s="37" t="s">
        <v>88</v>
      </c>
      <c r="Q9" s="37"/>
      <c r="R9" s="37"/>
      <c r="S9" s="37">
        <v>10000</v>
      </c>
      <c r="T9" s="37">
        <v>12</v>
      </c>
    </row>
  </sheetData>
  <mergeCells count="1">
    <mergeCell ref="B5:I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I3"/>
  <sheetViews>
    <sheetView workbookViewId="0">
      <selection activeCell="A28" sqref="A28"/>
    </sheetView>
  </sheetViews>
  <sheetFormatPr defaultRowHeight="14.4" x14ac:dyDescent="0.55000000000000004"/>
  <cols>
    <col min="1" max="1" width="13.5234375" style="21" customWidth="1"/>
    <col min="2" max="6" width="8.83984375" style="21"/>
    <col min="7" max="7" width="11.47265625" style="21" customWidth="1"/>
    <col min="8" max="8" width="11.734375" style="21" customWidth="1"/>
    <col min="9" max="16384" width="8.83984375" style="21"/>
  </cols>
  <sheetData>
    <row r="1" spans="1:9" x14ac:dyDescent="0.55000000000000004">
      <c r="B1" s="21">
        <v>1</v>
      </c>
      <c r="C1" s="21">
        <v>2</v>
      </c>
      <c r="D1" s="21">
        <v>3</v>
      </c>
      <c r="E1" s="21">
        <v>4</v>
      </c>
      <c r="F1" s="21">
        <v>5</v>
      </c>
      <c r="G1" s="21">
        <v>6</v>
      </c>
      <c r="H1" s="21">
        <v>7</v>
      </c>
    </row>
    <row r="2" spans="1:9" x14ac:dyDescent="0.55000000000000004">
      <c r="B2" s="1">
        <f>UserBenchmarking_Raw!C6</f>
        <v>100000</v>
      </c>
      <c r="C2" s="1">
        <f>UserBenchmarking_Raw!C6</f>
        <v>100000</v>
      </c>
      <c r="D2" s="1">
        <f>UserBenchmarking_Raw!D6</f>
        <v>248623.03982917138</v>
      </c>
      <c r="E2" s="1">
        <f>UserBenchmarking_Raw!E6</f>
        <v>1406243.9965814585</v>
      </c>
      <c r="F2" s="1">
        <f>UserBenchmarking_Raw!F6</f>
        <v>2194434.2724946504</v>
      </c>
      <c r="G2" s="1">
        <f>UserBenchmarking_Raw!G6</f>
        <v>2803800.2958752131</v>
      </c>
      <c r="H2" s="1">
        <f>UserBenchmarking_Raw!H6</f>
        <v>3878850.7688576737</v>
      </c>
    </row>
    <row r="3" spans="1:9" x14ac:dyDescent="0.55000000000000004">
      <c r="A3" s="21" t="s">
        <v>101</v>
      </c>
      <c r="B3" s="39">
        <v>18215</v>
      </c>
      <c r="C3" s="39">
        <v>18215</v>
      </c>
      <c r="D3" s="39">
        <v>36430</v>
      </c>
      <c r="E3" s="39">
        <v>79943</v>
      </c>
      <c r="F3" s="39">
        <v>102142</v>
      </c>
      <c r="G3" s="39">
        <v>141306</v>
      </c>
      <c r="H3" s="39">
        <v>407568</v>
      </c>
      <c r="I3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U30"/>
  <sheetViews>
    <sheetView zoomScale="70" zoomScaleNormal="70" workbookViewId="0">
      <selection activeCell="Q39" sqref="Q39"/>
    </sheetView>
  </sheetViews>
  <sheetFormatPr defaultRowHeight="14.4" x14ac:dyDescent="0.55000000000000004"/>
  <cols>
    <col min="1" max="1" width="27.47265625" customWidth="1"/>
    <col min="2" max="2" width="10.7890625" bestFit="1" customWidth="1"/>
    <col min="3" max="4" width="13.3125" bestFit="1" customWidth="1"/>
    <col min="5" max="5" width="10.7890625" bestFit="1" customWidth="1"/>
    <col min="6" max="6" width="11.7890625" bestFit="1" customWidth="1"/>
    <col min="7" max="9" width="10.7890625" bestFit="1" customWidth="1"/>
    <col min="10" max="10" width="12.9453125" customWidth="1"/>
    <col min="11" max="11" width="12.3125" customWidth="1"/>
    <col min="12" max="12" width="11.7890625" customWidth="1"/>
    <col min="13" max="13" width="12.41796875" customWidth="1"/>
    <col min="14" max="14" width="12.83984375" customWidth="1"/>
    <col min="15" max="15" width="12.15625" customWidth="1"/>
    <col min="16" max="16" width="12.41796875" customWidth="1"/>
    <col min="17" max="17" width="13.26171875" customWidth="1"/>
    <col min="18" max="18" width="12" customWidth="1"/>
    <col min="19" max="19" width="12.68359375" customWidth="1"/>
    <col min="20" max="20" width="12.3671875" customWidth="1"/>
    <col min="21" max="21" width="12.734375" customWidth="1"/>
  </cols>
  <sheetData>
    <row r="1" spans="1:21" s="21" customFormat="1" x14ac:dyDescent="0.55000000000000004">
      <c r="B1" s="205" t="str">
        <f>HRRampUp!C2</f>
        <v>Year 1</v>
      </c>
      <c r="C1" s="206"/>
      <c r="D1" s="206"/>
      <c r="E1" s="206"/>
      <c r="F1" s="207" t="str">
        <f>HRRampUp!G2</f>
        <v>Year 2</v>
      </c>
      <c r="G1" s="207"/>
      <c r="H1" s="207"/>
      <c r="I1" s="207"/>
      <c r="J1" s="208" t="str">
        <f>HRRampUp!K2</f>
        <v>Year 3</v>
      </c>
      <c r="K1" s="208"/>
      <c r="L1" s="208"/>
      <c r="M1" s="208"/>
      <c r="N1" s="209" t="str">
        <f>HRRampUp!O2</f>
        <v>Year 4</v>
      </c>
      <c r="O1" s="209"/>
      <c r="P1" s="209"/>
      <c r="Q1" s="209"/>
      <c r="R1" s="210" t="str">
        <f>HRRampUp!S2</f>
        <v>Year 5</v>
      </c>
      <c r="S1" s="210"/>
      <c r="T1" s="210"/>
      <c r="U1" s="211"/>
    </row>
    <row r="2" spans="1:21" x14ac:dyDescent="0.55000000000000004">
      <c r="B2" s="9" t="str">
        <f>HRRampUp!C3</f>
        <v>Q1</v>
      </c>
      <c r="C2" s="9" t="str">
        <f>HRRampUp!D3</f>
        <v>Q2</v>
      </c>
      <c r="D2" s="9" t="str">
        <f>HRRampUp!E3</f>
        <v>Q3</v>
      </c>
      <c r="E2" s="9" t="str">
        <f>HRRampUp!F3</f>
        <v>Q4</v>
      </c>
      <c r="F2" s="11" t="str">
        <f>HRRampUp!G3</f>
        <v>Q1</v>
      </c>
      <c r="G2" s="11" t="str">
        <f>HRRampUp!H3</f>
        <v>Q2</v>
      </c>
      <c r="H2" s="11" t="str">
        <f>HRRampUp!I3</f>
        <v>Q3</v>
      </c>
      <c r="I2" s="11" t="str">
        <f>HRRampUp!J3</f>
        <v>Q4</v>
      </c>
      <c r="J2" s="8" t="str">
        <f>HRRampUp!K3</f>
        <v>Q1</v>
      </c>
      <c r="K2" s="8" t="str">
        <f>HRRampUp!L3</f>
        <v>Q2</v>
      </c>
      <c r="L2" s="8" t="str">
        <f>HRRampUp!M3</f>
        <v>Q3</v>
      </c>
      <c r="M2" s="8" t="str">
        <f>HRRampUp!N3</f>
        <v>Q4</v>
      </c>
      <c r="N2" s="10" t="str">
        <f>HRRampUp!O3</f>
        <v>Q1</v>
      </c>
      <c r="O2" s="10" t="str">
        <f>HRRampUp!P3</f>
        <v>Q2</v>
      </c>
      <c r="P2" s="10" t="str">
        <f>HRRampUp!Q3</f>
        <v>Q3</v>
      </c>
      <c r="Q2" s="10" t="str">
        <f>HRRampUp!R3</f>
        <v>Q4</v>
      </c>
      <c r="R2" s="7" t="str">
        <f>HRRampUp!S3</f>
        <v>Q1</v>
      </c>
      <c r="S2" s="7" t="str">
        <f>HRRampUp!T3</f>
        <v>Q2</v>
      </c>
      <c r="T2" s="7" t="str">
        <f>HRRampUp!U3</f>
        <v>Q3</v>
      </c>
      <c r="U2" s="7" t="str">
        <f>HRRampUp!V3</f>
        <v>Q4</v>
      </c>
    </row>
    <row r="3" spans="1:21" x14ac:dyDescent="0.55000000000000004">
      <c r="A3" t="str">
        <f>HRRampUp!B4</f>
        <v>CTO</v>
      </c>
      <c r="B3" s="18">
        <f>IF(HRRampUp!C4*PayrollBreakdown_Raw!$D$3=0,"",HRRampUp!C4*PayrollBreakdown_Raw!$D$3)</f>
        <v>37500</v>
      </c>
      <c r="C3" s="18">
        <f>IF(HRRampUp!D4*PayrollBreakdown_Raw!$D$3=0,"",HRRampUp!D4*PayrollBreakdown_Raw!$D$3)</f>
        <v>37500</v>
      </c>
      <c r="D3" s="18">
        <f>IF(HRRampUp!E4*PayrollBreakdown_Raw!$D$3=0,"",HRRampUp!E4*PayrollBreakdown_Raw!$D$3)</f>
        <v>37500</v>
      </c>
      <c r="E3" s="18">
        <f>IF(HRRampUp!F4*PayrollBreakdown_Raw!$D$3=0,"",HRRampUp!F4*PayrollBreakdown_Raw!$D$3)</f>
        <v>37500</v>
      </c>
      <c r="F3" s="18">
        <f>IF(HRRampUp!G4*PayrollBreakdown_Raw!$D$3=0,"",HRRampUp!G4*PayrollBreakdown_Raw!$D$3)</f>
        <v>37500</v>
      </c>
      <c r="G3" s="18">
        <f>IF(HRRampUp!H4*PayrollBreakdown_Raw!$D$3=0,"",HRRampUp!H4*PayrollBreakdown_Raw!$D$3)</f>
        <v>37500</v>
      </c>
      <c r="H3" s="18">
        <f>IF(HRRampUp!I4*PayrollBreakdown_Raw!$D$3=0,"",HRRampUp!I4*PayrollBreakdown_Raw!$D$3)</f>
        <v>37500</v>
      </c>
      <c r="I3" s="18">
        <f>IF(HRRampUp!J4*PayrollBreakdown_Raw!$D$3=0,"",HRRampUp!J4*PayrollBreakdown_Raw!$D$3)</f>
        <v>37500</v>
      </c>
      <c r="J3" s="18">
        <f>IF(HRRampUp!K4*PayrollBreakdown_Raw!$D$3=0,"",HRRampUp!K4*PayrollBreakdown_Raw!$D$3)</f>
        <v>37500</v>
      </c>
      <c r="K3" s="18">
        <f>IF(HRRampUp!L4*PayrollBreakdown_Raw!$D$3=0,"",HRRampUp!L4*PayrollBreakdown_Raw!$D$3)</f>
        <v>37500</v>
      </c>
      <c r="L3" s="18">
        <f>IF(HRRampUp!M4*PayrollBreakdown_Raw!$D$3=0,"",HRRampUp!M4*PayrollBreakdown_Raw!$D$3)</f>
        <v>37500</v>
      </c>
      <c r="M3" s="18">
        <f>IF(HRRampUp!N4*PayrollBreakdown_Raw!$D$3=0,"",HRRampUp!N4*PayrollBreakdown_Raw!$D$3)</f>
        <v>37500</v>
      </c>
      <c r="N3" s="18">
        <f>IF(HRRampUp!O4*PayrollBreakdown_Raw!$D$3=0,"",HRRampUp!O4*PayrollBreakdown_Raw!$D$3)</f>
        <v>37500</v>
      </c>
      <c r="O3" s="18">
        <f>IF(HRRampUp!P4*PayrollBreakdown_Raw!$D$3=0,"",HRRampUp!P4*PayrollBreakdown_Raw!$D$3)</f>
        <v>37500</v>
      </c>
      <c r="P3" s="18">
        <f>IF(HRRampUp!Q4*PayrollBreakdown_Raw!$D$3=0,"",HRRampUp!Q4*PayrollBreakdown_Raw!$D$3)</f>
        <v>37500</v>
      </c>
      <c r="Q3" s="18">
        <f>IF(HRRampUp!R4*PayrollBreakdown_Raw!$D$3=0,"",HRRampUp!R4*PayrollBreakdown_Raw!$D$3)</f>
        <v>37500</v>
      </c>
      <c r="R3" s="18">
        <f>IF(HRRampUp!S4*PayrollBreakdown_Raw!$D$3=0,"",HRRampUp!S4*PayrollBreakdown_Raw!$D$3)</f>
        <v>37500</v>
      </c>
      <c r="S3" s="18">
        <f>IF(HRRampUp!T4*PayrollBreakdown_Raw!$D$3=0,"",HRRampUp!T4*PayrollBreakdown_Raw!$D$3)</f>
        <v>37500</v>
      </c>
      <c r="T3" s="18">
        <f>IF(HRRampUp!U4*PayrollBreakdown_Raw!$D$3=0,"",HRRampUp!U4*PayrollBreakdown_Raw!$D$3)</f>
        <v>37500</v>
      </c>
      <c r="U3" s="18">
        <f>IF(HRRampUp!V4*PayrollBreakdown_Raw!$D$3=0,"",HRRampUp!V4*PayrollBreakdown_Raw!$D$3)</f>
        <v>37500</v>
      </c>
    </row>
    <row r="4" spans="1:21" x14ac:dyDescent="0.55000000000000004">
      <c r="A4" t="str">
        <f>HRRampUp!B5</f>
        <v>Full-Stack Developer</v>
      </c>
      <c r="B4" s="18" t="str">
        <f>IF(HRRampUp!C5*PayrollBreakdown_Raw!$D$4=0,"",HRRampUp!C5*PayrollBreakdown_Raw!$D$4)</f>
        <v/>
      </c>
      <c r="C4" s="18" t="str">
        <f>IF(HRRampUp!D5*PayrollBreakdown_Raw!$D$4=0,"",HRRampUp!D5*PayrollBreakdown_Raw!$D$4)</f>
        <v/>
      </c>
      <c r="D4" s="18" t="str">
        <f>IF(HRRampUp!E5*PayrollBreakdown_Raw!$D$4=0,"",HRRampUp!E5*PayrollBreakdown_Raw!$D$4)</f>
        <v/>
      </c>
      <c r="E4" s="18" t="str">
        <f>IF(HRRampUp!F5*PayrollBreakdown_Raw!$D$4=0,"",HRRampUp!F5*PayrollBreakdown_Raw!$D$4)</f>
        <v/>
      </c>
      <c r="F4" s="18" t="str">
        <f>IF(HRRampUp!G5*PayrollBreakdown_Raw!$D$4=0,"",HRRampUp!G5*PayrollBreakdown_Raw!$D$4)</f>
        <v/>
      </c>
      <c r="G4" s="18" t="str">
        <f>IF(HRRampUp!H5*PayrollBreakdown_Raw!$D$4=0,"",HRRampUp!H5*PayrollBreakdown_Raw!$D$4)</f>
        <v/>
      </c>
      <c r="H4" s="18" t="str">
        <f>IF(HRRampUp!I5*PayrollBreakdown_Raw!$D$4=0,"",HRRampUp!I5*PayrollBreakdown_Raw!$D$4)</f>
        <v/>
      </c>
      <c r="I4" s="18" t="str">
        <f>IF(HRRampUp!J5*PayrollBreakdown_Raw!$D$4=0,"",HRRampUp!J5*PayrollBreakdown_Raw!$D$4)</f>
        <v/>
      </c>
      <c r="J4" s="18">
        <f>IF(HRRampUp!K5*PayrollBreakdown_Raw!$D$4=0,"",HRRampUp!K5*PayrollBreakdown_Raw!$D$4)</f>
        <v>10000</v>
      </c>
      <c r="K4" s="18">
        <f>IF(HRRampUp!L5*PayrollBreakdown_Raw!$D$4=0,"",HRRampUp!L5*PayrollBreakdown_Raw!$D$4)</f>
        <v>10000</v>
      </c>
      <c r="L4" s="18">
        <f>IF(HRRampUp!M5*PayrollBreakdown_Raw!$D$4=0,"",HRRampUp!M5*PayrollBreakdown_Raw!$D$4)</f>
        <v>10000</v>
      </c>
      <c r="M4" s="18">
        <f>IF(HRRampUp!N5*PayrollBreakdown_Raw!$D$4=0,"",HRRampUp!N5*PayrollBreakdown_Raw!$D$4)</f>
        <v>10000</v>
      </c>
      <c r="N4" s="18">
        <f>IF(HRRampUp!O5*PayrollBreakdown_Raw!$D$4=0,"",HRRampUp!O5*PayrollBreakdown_Raw!$D$4)</f>
        <v>10000</v>
      </c>
      <c r="O4" s="18">
        <f>IF(HRRampUp!P5*PayrollBreakdown_Raw!$D$4=0,"",HRRampUp!P5*PayrollBreakdown_Raw!$D$4)</f>
        <v>10000</v>
      </c>
      <c r="P4" s="18">
        <f>IF(HRRampUp!Q5*PayrollBreakdown_Raw!$D$4=0,"",HRRampUp!Q5*PayrollBreakdown_Raw!$D$4)</f>
        <v>10000</v>
      </c>
      <c r="Q4" s="18">
        <f>IF(HRRampUp!R5*PayrollBreakdown_Raw!$D$4=0,"",HRRampUp!R5*PayrollBreakdown_Raw!$D$4)</f>
        <v>10000</v>
      </c>
      <c r="R4" s="18">
        <f>IF(HRRampUp!S5*PayrollBreakdown_Raw!$D$4=0,"",HRRampUp!S5*PayrollBreakdown_Raw!$D$4)</f>
        <v>10000</v>
      </c>
      <c r="S4" s="18">
        <f>IF(HRRampUp!T5*PayrollBreakdown_Raw!$D$4=0,"",HRRampUp!T5*PayrollBreakdown_Raw!$D$4)</f>
        <v>10000</v>
      </c>
      <c r="T4" s="18">
        <f>IF(HRRampUp!U5*PayrollBreakdown_Raw!$D$4=0,"",HRRampUp!U5*PayrollBreakdown_Raw!$D$4)</f>
        <v>10000</v>
      </c>
      <c r="U4" s="18">
        <f>IF(HRRampUp!V5*PayrollBreakdown_Raw!$D$4=0,"",HRRampUp!V5*PayrollBreakdown_Raw!$D$4)</f>
        <v>10000</v>
      </c>
    </row>
    <row r="5" spans="1:21" x14ac:dyDescent="0.55000000000000004">
      <c r="A5" t="str">
        <f>HRRampUp!B6</f>
        <v>UI/UX Designer</v>
      </c>
      <c r="B5" s="18">
        <f>IF(HRRampUp!C6*PayrollBreakdown_Raw!$D$5=0,"",HRRampUp!C6*PayrollBreakdown_Raw!$D$5)</f>
        <v>3750</v>
      </c>
      <c r="C5" s="18">
        <f>IF(HRRampUp!D6*PayrollBreakdown_Raw!$D$5=0,"",HRRampUp!D6*PayrollBreakdown_Raw!$D$5)</f>
        <v>3750</v>
      </c>
      <c r="D5" s="18">
        <f>IF(HRRampUp!E6*PayrollBreakdown_Raw!$D$5=0,"",HRRampUp!E6*PayrollBreakdown_Raw!$D$5)</f>
        <v>3750</v>
      </c>
      <c r="E5" s="18">
        <f>IF(HRRampUp!F6*PayrollBreakdown_Raw!$D$5=0,"",HRRampUp!F6*PayrollBreakdown_Raw!$D$5)</f>
        <v>3750</v>
      </c>
      <c r="F5" s="18">
        <f>IF(HRRampUp!G6*PayrollBreakdown_Raw!$D$5=0,"",HRRampUp!G6*PayrollBreakdown_Raw!$D$5)</f>
        <v>3750</v>
      </c>
      <c r="G5" s="18">
        <f>IF(HRRampUp!H6*PayrollBreakdown_Raw!$D$5=0,"",HRRampUp!H6*PayrollBreakdown_Raw!$D$5)</f>
        <v>3750</v>
      </c>
      <c r="H5" s="18">
        <f>IF(HRRampUp!I6*PayrollBreakdown_Raw!$D$5=0,"",HRRampUp!I6*PayrollBreakdown_Raw!$D$5)</f>
        <v>3750</v>
      </c>
      <c r="I5" s="18">
        <f>IF(HRRampUp!J6*PayrollBreakdown_Raw!$D$5=0,"",HRRampUp!J6*PayrollBreakdown_Raw!$D$5)</f>
        <v>3750</v>
      </c>
      <c r="J5" s="18">
        <f>IF(HRRampUp!K6*PayrollBreakdown_Raw!$D$5=0,"",HRRampUp!K6*PayrollBreakdown_Raw!$D$5)</f>
        <v>3750</v>
      </c>
      <c r="K5" s="18">
        <f>IF(HRRampUp!L6*PayrollBreakdown_Raw!$D$5=0,"",HRRampUp!L6*PayrollBreakdown_Raw!$D$5)</f>
        <v>3750</v>
      </c>
      <c r="L5" s="18">
        <f>IF(HRRampUp!M6*PayrollBreakdown_Raw!$D$5=0,"",HRRampUp!M6*PayrollBreakdown_Raw!$D$5)</f>
        <v>3750</v>
      </c>
      <c r="M5" s="18">
        <f>IF(HRRampUp!N6*PayrollBreakdown_Raw!$D$5=0,"",HRRampUp!N6*PayrollBreakdown_Raw!$D$5)</f>
        <v>3750</v>
      </c>
      <c r="N5" s="18">
        <f>IF(HRRampUp!O6*PayrollBreakdown_Raw!$D$5=0,"",HRRampUp!O6*PayrollBreakdown_Raw!$D$5)</f>
        <v>3750</v>
      </c>
      <c r="O5" s="18">
        <f>IF(HRRampUp!P6*PayrollBreakdown_Raw!$D$5=0,"",HRRampUp!P6*PayrollBreakdown_Raw!$D$5)</f>
        <v>3750</v>
      </c>
      <c r="P5" s="18">
        <f>IF(HRRampUp!Q6*PayrollBreakdown_Raw!$D$5=0,"",HRRampUp!Q6*PayrollBreakdown_Raw!$D$5)</f>
        <v>3750</v>
      </c>
      <c r="Q5" s="18">
        <f>IF(HRRampUp!R6*PayrollBreakdown_Raw!$D$5=0,"",HRRampUp!R6*PayrollBreakdown_Raw!$D$5)</f>
        <v>3750</v>
      </c>
      <c r="R5" s="18">
        <f>IF(HRRampUp!S6*PayrollBreakdown_Raw!$D$5=0,"",HRRampUp!S6*PayrollBreakdown_Raw!$D$5)</f>
        <v>3750</v>
      </c>
      <c r="S5" s="18">
        <f>IF(HRRampUp!T6*PayrollBreakdown_Raw!$D$5=0,"",HRRampUp!T6*PayrollBreakdown_Raw!$D$5)</f>
        <v>3750</v>
      </c>
      <c r="T5" s="18">
        <f>IF(HRRampUp!U6*PayrollBreakdown_Raw!$D$5=0,"",HRRampUp!U6*PayrollBreakdown_Raw!$D$5)</f>
        <v>3750</v>
      </c>
      <c r="U5" s="18">
        <f>IF(HRRampUp!V6*PayrollBreakdown_Raw!$D$5=0,"",HRRampUp!V6*PayrollBreakdown_Raw!$D$5)</f>
        <v>3750</v>
      </c>
    </row>
    <row r="6" spans="1:21" x14ac:dyDescent="0.55000000000000004">
      <c r="A6" t="str">
        <f>HRRampUp!B7</f>
        <v>Solution Architect</v>
      </c>
      <c r="B6" s="18">
        <f>IF(HRRampUp!C7*PayrollBreakdown_Raw!$D$6=0,"",HRRampUp!C7*PayrollBreakdown_Raw!$D$6)</f>
        <v>10000</v>
      </c>
      <c r="C6" s="18">
        <f>IF(HRRampUp!D7*PayrollBreakdown_Raw!$D$6=0,"",HRRampUp!D7*PayrollBreakdown_Raw!$D$6)</f>
        <v>10000</v>
      </c>
      <c r="D6" s="18">
        <f>IF(HRRampUp!E7*PayrollBreakdown_Raw!$D$6=0,"",HRRampUp!E7*PayrollBreakdown_Raw!$D$6)</f>
        <v>10000</v>
      </c>
      <c r="E6" s="18">
        <f>IF(HRRampUp!F7*PayrollBreakdown_Raw!$D$6=0,"",HRRampUp!F7*PayrollBreakdown_Raw!$D$6)</f>
        <v>10000</v>
      </c>
      <c r="F6" s="18">
        <f>IF(HRRampUp!G7*PayrollBreakdown_Raw!$D$6=0,"",HRRampUp!G7*PayrollBreakdown_Raw!$D$6)</f>
        <v>10000</v>
      </c>
      <c r="G6" s="18">
        <f>IF(HRRampUp!H7*PayrollBreakdown_Raw!$D$6=0,"",HRRampUp!H7*PayrollBreakdown_Raw!$D$6)</f>
        <v>10000</v>
      </c>
      <c r="H6" s="18">
        <f>IF(HRRampUp!I7*PayrollBreakdown_Raw!$D$6=0,"",HRRampUp!I7*PayrollBreakdown_Raw!$D$6)</f>
        <v>10000</v>
      </c>
      <c r="I6" s="18">
        <f>IF(HRRampUp!J7*PayrollBreakdown_Raw!$D$6=0,"",HRRampUp!J7*PayrollBreakdown_Raw!$D$6)</f>
        <v>10000</v>
      </c>
      <c r="J6" s="18">
        <f>IF(HRRampUp!K7*PayrollBreakdown_Raw!$D$6=0,"",HRRampUp!K7*PayrollBreakdown_Raw!$D$6)</f>
        <v>10000</v>
      </c>
      <c r="K6" s="18">
        <f>IF(HRRampUp!L7*PayrollBreakdown_Raw!$D$6=0,"",HRRampUp!L7*PayrollBreakdown_Raw!$D$6)</f>
        <v>10000</v>
      </c>
      <c r="L6" s="18">
        <f>IF(HRRampUp!M7*PayrollBreakdown_Raw!$D$6=0,"",HRRampUp!M7*PayrollBreakdown_Raw!$D$6)</f>
        <v>10000</v>
      </c>
      <c r="M6" s="18">
        <f>IF(HRRampUp!N7*PayrollBreakdown_Raw!$D$6=0,"",HRRampUp!N7*PayrollBreakdown_Raw!$D$6)</f>
        <v>10000</v>
      </c>
      <c r="N6" s="18">
        <f>IF(HRRampUp!O7*PayrollBreakdown_Raw!$D$6=0,"",HRRampUp!O7*PayrollBreakdown_Raw!$D$6)</f>
        <v>10000</v>
      </c>
      <c r="O6" s="18">
        <f>IF(HRRampUp!P7*PayrollBreakdown_Raw!$D$6=0,"",HRRampUp!P7*PayrollBreakdown_Raw!$D$6)</f>
        <v>10000</v>
      </c>
      <c r="P6" s="18">
        <f>IF(HRRampUp!Q7*PayrollBreakdown_Raw!$D$6=0,"",HRRampUp!Q7*PayrollBreakdown_Raw!$D$6)</f>
        <v>10000</v>
      </c>
      <c r="Q6" s="18">
        <f>IF(HRRampUp!R7*PayrollBreakdown_Raw!$D$6=0,"",HRRampUp!R7*PayrollBreakdown_Raw!$D$6)</f>
        <v>10000</v>
      </c>
      <c r="R6" s="18">
        <f>IF(HRRampUp!S7*PayrollBreakdown_Raw!$D$6=0,"",HRRampUp!S7*PayrollBreakdown_Raw!$D$6)</f>
        <v>10000</v>
      </c>
      <c r="S6" s="18">
        <f>IF(HRRampUp!T7*PayrollBreakdown_Raw!$D$6=0,"",HRRampUp!T7*PayrollBreakdown_Raw!$D$6)</f>
        <v>10000</v>
      </c>
      <c r="T6" s="18">
        <f>IF(HRRampUp!U7*PayrollBreakdown_Raw!$D$6=0,"",HRRampUp!U7*PayrollBreakdown_Raw!$D$6)</f>
        <v>10000</v>
      </c>
      <c r="U6" s="18">
        <f>IF(HRRampUp!V7*PayrollBreakdown_Raw!$D$6=0,"",HRRampUp!V7*PayrollBreakdown_Raw!$D$6)</f>
        <v>10000</v>
      </c>
    </row>
    <row r="7" spans="1:21" x14ac:dyDescent="0.55000000000000004">
      <c r="A7" t="str">
        <f>HRRampUp!B8</f>
        <v>Backend Engineer</v>
      </c>
      <c r="B7" s="18" t="str">
        <f>IF(HRRampUp!C8*PayrollBreakdown_Raw!$D$7=0,"",HRRampUp!C8*PayrollBreakdown_Raw!$D$7)</f>
        <v/>
      </c>
      <c r="C7" s="18" t="str">
        <f>IF(HRRampUp!D8*PayrollBreakdown_Raw!$D$7=0,"",HRRampUp!D8*PayrollBreakdown_Raw!$D$7)</f>
        <v/>
      </c>
      <c r="D7" s="18" t="str">
        <f>IF(HRRampUp!E8*PayrollBreakdown_Raw!$D$7=0,"",HRRampUp!E8*PayrollBreakdown_Raw!$D$7)</f>
        <v/>
      </c>
      <c r="E7" s="18" t="str">
        <f>IF(HRRampUp!F8*PayrollBreakdown_Raw!$D$7=0,"",HRRampUp!F8*PayrollBreakdown_Raw!$D$7)</f>
        <v/>
      </c>
      <c r="F7" s="18" t="str">
        <f>IF(HRRampUp!G8*PayrollBreakdown_Raw!$D$7=0,"",HRRampUp!G8*PayrollBreakdown_Raw!$D$7)</f>
        <v/>
      </c>
      <c r="G7" s="18" t="str">
        <f>IF(HRRampUp!H8*PayrollBreakdown_Raw!$D$7=0,"",HRRampUp!H8*PayrollBreakdown_Raw!$D$7)</f>
        <v/>
      </c>
      <c r="H7" s="18" t="str">
        <f>IF(HRRampUp!I8*PayrollBreakdown_Raw!$D$7=0,"",HRRampUp!I8*PayrollBreakdown_Raw!$D$7)</f>
        <v/>
      </c>
      <c r="I7" s="18" t="str">
        <f>IF(HRRampUp!J8*PayrollBreakdown_Raw!$D$7=0,"",HRRampUp!J8*PayrollBreakdown_Raw!$D$7)</f>
        <v/>
      </c>
      <c r="J7" s="18" t="str">
        <f>IF(HRRampUp!K8*PayrollBreakdown_Raw!$D$7=0,"",HRRampUp!K8*PayrollBreakdown_Raw!$D$7)</f>
        <v/>
      </c>
      <c r="K7" s="18" t="str">
        <f>IF(HRRampUp!L8*PayrollBreakdown_Raw!$D$7=0,"",HRRampUp!L8*PayrollBreakdown_Raw!$D$7)</f>
        <v/>
      </c>
      <c r="L7" s="18" t="str">
        <f>IF(HRRampUp!M8*PayrollBreakdown_Raw!$D$7=0,"",HRRampUp!M8*PayrollBreakdown_Raw!$D$7)</f>
        <v/>
      </c>
      <c r="M7" s="18" t="str">
        <f>IF(HRRampUp!N8*PayrollBreakdown_Raw!$D$7=0,"",HRRampUp!N8*PayrollBreakdown_Raw!$D$7)</f>
        <v/>
      </c>
      <c r="N7" s="18">
        <f>IF(HRRampUp!O8*PayrollBreakdown_Raw!$D$7=0,"",HRRampUp!O8*PayrollBreakdown_Raw!$D$7)</f>
        <v>8750</v>
      </c>
      <c r="O7" s="18">
        <f>IF(HRRampUp!P8*PayrollBreakdown_Raw!$D$7=0,"",HRRampUp!P8*PayrollBreakdown_Raw!$D$7)</f>
        <v>8750</v>
      </c>
      <c r="P7" s="18">
        <f>IF(HRRampUp!Q8*PayrollBreakdown_Raw!$D$7=0,"",HRRampUp!Q8*PayrollBreakdown_Raw!$D$7)</f>
        <v>8750</v>
      </c>
      <c r="Q7" s="18">
        <f>IF(HRRampUp!R8*PayrollBreakdown_Raw!$D$7=0,"",HRRampUp!R8*PayrollBreakdown_Raw!$D$7)</f>
        <v>8750</v>
      </c>
      <c r="R7" s="18">
        <f>IF(HRRampUp!S8*PayrollBreakdown_Raw!$D$7=0,"",HRRampUp!S8*PayrollBreakdown_Raw!$D$7)</f>
        <v>8750</v>
      </c>
      <c r="S7" s="18">
        <f>IF(HRRampUp!T8*PayrollBreakdown_Raw!$D$7=0,"",HRRampUp!T8*PayrollBreakdown_Raw!$D$7)</f>
        <v>8750</v>
      </c>
      <c r="T7" s="18">
        <f>IF(HRRampUp!U8*PayrollBreakdown_Raw!$D$7=0,"",HRRampUp!U8*PayrollBreakdown_Raw!$D$7)</f>
        <v>8750</v>
      </c>
      <c r="U7" s="18">
        <f>IF(HRRampUp!V8*PayrollBreakdown_Raw!$D$7=0,"",HRRampUp!V8*PayrollBreakdown_Raw!$D$7)</f>
        <v>8750</v>
      </c>
    </row>
    <row r="8" spans="1:21" x14ac:dyDescent="0.55000000000000004">
      <c r="A8" t="str">
        <f>HRRampUp!B9</f>
        <v>Data/AI Engineer</v>
      </c>
      <c r="B8" s="18">
        <f>IF(HRRampUp!C9*PayrollBreakdown_Raw!$D$8=0,"",HRRampUp!C9*PayrollBreakdown_Raw!$D$8)</f>
        <v>10000</v>
      </c>
      <c r="C8" s="18">
        <f>IF(HRRampUp!D9*PayrollBreakdown_Raw!$D$8=0,"",HRRampUp!D9*PayrollBreakdown_Raw!$D$8)</f>
        <v>10000</v>
      </c>
      <c r="D8" s="18">
        <f>IF(HRRampUp!E9*PayrollBreakdown_Raw!$D$8=0,"",HRRampUp!E9*PayrollBreakdown_Raw!$D$8)</f>
        <v>10000</v>
      </c>
      <c r="E8" s="18">
        <f>IF(HRRampUp!F9*PayrollBreakdown_Raw!$D$8=0,"",HRRampUp!F9*PayrollBreakdown_Raw!$D$8)</f>
        <v>10000</v>
      </c>
      <c r="F8" s="18">
        <f>IF(HRRampUp!G9*PayrollBreakdown_Raw!$D$8=0,"",HRRampUp!G9*PayrollBreakdown_Raw!$D$8)</f>
        <v>10000</v>
      </c>
      <c r="G8" s="18">
        <f>IF(HRRampUp!H9*PayrollBreakdown_Raw!$D$8=0,"",HRRampUp!H9*PayrollBreakdown_Raw!$D$8)</f>
        <v>10000</v>
      </c>
      <c r="H8" s="18">
        <f>IF(HRRampUp!I9*PayrollBreakdown_Raw!$D$8=0,"",HRRampUp!I9*PayrollBreakdown_Raw!$D$8)</f>
        <v>10000</v>
      </c>
      <c r="I8" s="18">
        <f>IF(HRRampUp!J9*PayrollBreakdown_Raw!$D$8=0,"",HRRampUp!J9*PayrollBreakdown_Raw!$D$8)</f>
        <v>10000</v>
      </c>
      <c r="J8" s="18">
        <f>IF(HRRampUp!K9*PayrollBreakdown_Raw!$D$8=0,"",HRRampUp!K9*PayrollBreakdown_Raw!$D$8)</f>
        <v>10000</v>
      </c>
      <c r="K8" s="18">
        <f>IF(HRRampUp!L9*PayrollBreakdown_Raw!$D$8=0,"",HRRampUp!L9*PayrollBreakdown_Raw!$D$8)</f>
        <v>10000</v>
      </c>
      <c r="L8" s="18">
        <f>IF(HRRampUp!M9*PayrollBreakdown_Raw!$D$8=0,"",HRRampUp!M9*PayrollBreakdown_Raw!$D$8)</f>
        <v>10000</v>
      </c>
      <c r="M8" s="18">
        <f>IF(HRRampUp!N9*PayrollBreakdown_Raw!$D$8=0,"",HRRampUp!N9*PayrollBreakdown_Raw!$D$8)</f>
        <v>10000</v>
      </c>
      <c r="N8" s="18">
        <f>IF(HRRampUp!O9*PayrollBreakdown_Raw!$D$8=0,"",HRRampUp!O9*PayrollBreakdown_Raw!$D$8)</f>
        <v>10000</v>
      </c>
      <c r="O8" s="18">
        <f>IF(HRRampUp!P9*PayrollBreakdown_Raw!$D$8=0,"",HRRampUp!P9*PayrollBreakdown_Raw!$D$8)</f>
        <v>10000</v>
      </c>
      <c r="P8" s="18">
        <f>IF(HRRampUp!Q9*PayrollBreakdown_Raw!$D$8=0,"",HRRampUp!Q9*PayrollBreakdown_Raw!$D$8)</f>
        <v>10000</v>
      </c>
      <c r="Q8" s="18">
        <f>IF(HRRampUp!R9*PayrollBreakdown_Raw!$D$8=0,"",HRRampUp!R9*PayrollBreakdown_Raw!$D$8)</f>
        <v>10000</v>
      </c>
      <c r="R8" s="18">
        <f>IF(HRRampUp!S9*PayrollBreakdown_Raw!$D$8=0,"",HRRampUp!S9*PayrollBreakdown_Raw!$D$8)</f>
        <v>10000</v>
      </c>
      <c r="S8" s="18">
        <f>IF(HRRampUp!T9*PayrollBreakdown_Raw!$D$8=0,"",HRRampUp!T9*PayrollBreakdown_Raw!$D$8)</f>
        <v>10000</v>
      </c>
      <c r="T8" s="18">
        <f>IF(HRRampUp!U9*PayrollBreakdown_Raw!$D$8=0,"",HRRampUp!U9*PayrollBreakdown_Raw!$D$8)</f>
        <v>10000</v>
      </c>
      <c r="U8" s="18">
        <f>IF(HRRampUp!V9*PayrollBreakdown_Raw!$D$8=0,"",HRRampUp!V9*PayrollBreakdown_Raw!$D$8)</f>
        <v>10000</v>
      </c>
    </row>
    <row r="9" spans="1:21" x14ac:dyDescent="0.55000000000000004">
      <c r="A9" t="str">
        <f>HRRampUp!B10</f>
        <v>Marketing Manager</v>
      </c>
      <c r="B9" s="18" t="str">
        <f>IF(HRRampUp!C10*PayrollBreakdown_Raw!$D$15=0,"",HRRampUp!C10*PayrollBreakdown_Raw!$D$15)</f>
        <v/>
      </c>
      <c r="C9" s="18" t="str">
        <f>IF(HRRampUp!D10*PayrollBreakdown_Raw!$D$15=0,"",HRRampUp!D10*PayrollBreakdown_Raw!$D$15)</f>
        <v/>
      </c>
      <c r="D9" s="18" t="str">
        <f>IF(HRRampUp!E10*PayrollBreakdown_Raw!$D$15=0,"",HRRampUp!E10*PayrollBreakdown_Raw!$D$15)</f>
        <v/>
      </c>
      <c r="E9" s="18" t="str">
        <f>IF(HRRampUp!F10*PayrollBreakdown_Raw!$D$15=0,"",HRRampUp!F10*PayrollBreakdown_Raw!$D$15)</f>
        <v/>
      </c>
      <c r="F9" s="18" t="str">
        <f>IF(HRRampUp!G10*PayrollBreakdown_Raw!$D$15=0,"",HRRampUp!G10*PayrollBreakdown_Raw!$D$15)</f>
        <v/>
      </c>
      <c r="G9" s="18" t="str">
        <f>IF(HRRampUp!H10*PayrollBreakdown_Raw!$D$15=0,"",HRRampUp!H10*PayrollBreakdown_Raw!$D$15)</f>
        <v/>
      </c>
      <c r="H9" s="18" t="str">
        <f>IF(HRRampUp!I10*PayrollBreakdown_Raw!$D$15=0,"",HRRampUp!I10*PayrollBreakdown_Raw!$D$15)</f>
        <v/>
      </c>
      <c r="I9" s="18" t="str">
        <f>IF(HRRampUp!J10*PayrollBreakdown_Raw!$D$15=0,"",HRRampUp!J10*PayrollBreakdown_Raw!$D$15)</f>
        <v/>
      </c>
      <c r="J9" s="18" t="str">
        <f>IF(HRRampUp!K10*PayrollBreakdown_Raw!$D$15=0,"",HRRampUp!K10*PayrollBreakdown_Raw!$D$15)</f>
        <v/>
      </c>
      <c r="K9" s="18" t="str">
        <f>IF(HRRampUp!L10*PayrollBreakdown_Raw!$D$15=0,"",HRRampUp!L10*PayrollBreakdown_Raw!$D$15)</f>
        <v/>
      </c>
      <c r="L9" s="18" t="str">
        <f>IF(HRRampUp!M10*PayrollBreakdown_Raw!$D$15=0,"",HRRampUp!M10*PayrollBreakdown_Raw!$D$15)</f>
        <v/>
      </c>
      <c r="M9" s="18" t="str">
        <f>IF(HRRampUp!N10*PayrollBreakdown_Raw!$D$15=0,"",HRRampUp!N10*PayrollBreakdown_Raw!$D$15)</f>
        <v/>
      </c>
      <c r="N9" s="18">
        <f>IF(HRRampUp!O10*PayrollBreakdown_Raw!$D$15=0,"",HRRampUp!O10*PayrollBreakdown_Raw!$D$15)</f>
        <v>22500</v>
      </c>
      <c r="O9" s="18">
        <f>IF(HRRampUp!P10*PayrollBreakdown_Raw!$D$15=0,"",HRRampUp!P10*PayrollBreakdown_Raw!$D$15)</f>
        <v>22500</v>
      </c>
      <c r="P9" s="18">
        <f>IF(HRRampUp!Q10*PayrollBreakdown_Raw!$D$15=0,"",HRRampUp!Q10*PayrollBreakdown_Raw!$D$15)</f>
        <v>22500</v>
      </c>
      <c r="Q9" s="18">
        <f>IF(HRRampUp!R10*PayrollBreakdown_Raw!$D$15=0,"",HRRampUp!R10*PayrollBreakdown_Raw!$D$15)</f>
        <v>22500</v>
      </c>
      <c r="R9" s="18">
        <f>IF(HRRampUp!S10*PayrollBreakdown_Raw!$D$15=0,"",HRRampUp!S10*PayrollBreakdown_Raw!$D$15)</f>
        <v>22500</v>
      </c>
      <c r="S9" s="18">
        <f>IF(HRRampUp!T10*PayrollBreakdown_Raw!$D$15=0,"",HRRampUp!T10*PayrollBreakdown_Raw!$D$15)</f>
        <v>22500</v>
      </c>
      <c r="T9" s="18">
        <f>IF(HRRampUp!U10*PayrollBreakdown_Raw!$D$15=0,"",HRRampUp!U10*PayrollBreakdown_Raw!$D$15)</f>
        <v>22500</v>
      </c>
      <c r="U9" s="18">
        <f>IF(HRRampUp!V10*PayrollBreakdown_Raw!$D$15=0,"",HRRampUp!V10*PayrollBreakdown_Raw!$D$15)</f>
        <v>22500</v>
      </c>
    </row>
    <row r="10" spans="1:21" x14ac:dyDescent="0.55000000000000004">
      <c r="A10" t="str">
        <f>HRRampUp!B11</f>
        <v>Digital Marketing Specialist</v>
      </c>
      <c r="B10" s="18" t="str">
        <f>IF(HRRampUp!C11*PayrollBreakdown_Raw!$D$9=0,"",HRRampUp!C11*PayrollBreakdown_Raw!$D$9)</f>
        <v/>
      </c>
      <c r="C10" s="18">
        <f>HRRampUp!D11*PayrollBreakdown_Raw!$D$9</f>
        <v>10000</v>
      </c>
      <c r="D10" s="18">
        <f>HRRampUp!E11*PayrollBreakdown_Raw!$D$9</f>
        <v>10000</v>
      </c>
      <c r="E10" s="18">
        <f>HRRampUp!F11*PayrollBreakdown_Raw!$D$9</f>
        <v>10000</v>
      </c>
      <c r="F10" s="18">
        <f>HRRampUp!G11*PayrollBreakdown_Raw!$D$9</f>
        <v>10000</v>
      </c>
      <c r="G10" s="18">
        <f>HRRampUp!H11*PayrollBreakdown_Raw!$D$9</f>
        <v>10000</v>
      </c>
      <c r="H10" s="18">
        <f>HRRampUp!I11*PayrollBreakdown_Raw!$D$9</f>
        <v>10000</v>
      </c>
      <c r="I10" s="18">
        <f>HRRampUp!J11*PayrollBreakdown_Raw!$D$9</f>
        <v>10000</v>
      </c>
      <c r="J10" s="18">
        <f>HRRampUp!K11*PayrollBreakdown_Raw!$D$9</f>
        <v>10000</v>
      </c>
      <c r="K10" s="18">
        <f>HRRampUp!L11*PayrollBreakdown_Raw!$D$9</f>
        <v>10000</v>
      </c>
      <c r="L10" s="18">
        <f>HRRampUp!M11*PayrollBreakdown_Raw!$D$9</f>
        <v>10000</v>
      </c>
      <c r="M10" s="18">
        <f>HRRampUp!N11*PayrollBreakdown_Raw!$D$9</f>
        <v>10000</v>
      </c>
      <c r="N10" s="18">
        <f>HRRampUp!O11*PayrollBreakdown_Raw!$D$9</f>
        <v>10000</v>
      </c>
      <c r="O10" s="18">
        <f>HRRampUp!P11*PayrollBreakdown_Raw!$D$9</f>
        <v>20000</v>
      </c>
      <c r="P10" s="18">
        <f>HRRampUp!Q11*PayrollBreakdown_Raw!$D$9</f>
        <v>20000</v>
      </c>
      <c r="Q10" s="18">
        <f>HRRampUp!R11*PayrollBreakdown_Raw!$D$9</f>
        <v>20000</v>
      </c>
      <c r="R10" s="18">
        <f>HRRampUp!S11*PayrollBreakdown_Raw!$D$9</f>
        <v>20000</v>
      </c>
      <c r="S10" s="18">
        <f>HRRampUp!T11*PayrollBreakdown_Raw!$D$9</f>
        <v>20000</v>
      </c>
      <c r="T10" s="18">
        <f>HRRampUp!U11*PayrollBreakdown_Raw!$D$9</f>
        <v>20000</v>
      </c>
      <c r="U10" s="18">
        <f>HRRampUp!V11*PayrollBreakdown_Raw!$D$9</f>
        <v>20000</v>
      </c>
    </row>
    <row r="11" spans="1:21" x14ac:dyDescent="0.55000000000000004">
      <c r="A11" t="str">
        <f>HRRampUp!B12</f>
        <v>Campus Partnerships Specialist</v>
      </c>
      <c r="B11" s="18" t="str">
        <f>IF(HRRampUp!C12*PayrollBreakdown_Raw!$D$10=0,"",HRRampUp!C12*PayrollBreakdown_Raw!$D$10)</f>
        <v/>
      </c>
      <c r="C11" s="18" t="str">
        <f>IF(HRRampUp!D12*PayrollBreakdown_Raw!$D$10=0,"",HRRampUp!D12*PayrollBreakdown_Raw!$D$10)</f>
        <v/>
      </c>
      <c r="D11" s="18" t="str">
        <f>IF(HRRampUp!E12*PayrollBreakdown_Raw!$D$10=0,"",HRRampUp!E12*PayrollBreakdown_Raw!$D$10)</f>
        <v/>
      </c>
      <c r="E11" s="18" t="str">
        <f>IF(HRRampUp!F12*PayrollBreakdown_Raw!$D$10=0,"",HRRampUp!F12*PayrollBreakdown_Raw!$D$10)</f>
        <v/>
      </c>
      <c r="F11" s="18" t="str">
        <f>IF(HRRampUp!G12*PayrollBreakdown_Raw!$D$10=0,"",HRRampUp!G12*PayrollBreakdown_Raw!$D$10)</f>
        <v/>
      </c>
      <c r="G11" s="18">
        <f>IF(HRRampUp!H12*PayrollBreakdown_Raw!$D$10=0,"",HRRampUp!H12*PayrollBreakdown_Raw!$D$10)</f>
        <v>5000</v>
      </c>
      <c r="H11" s="18">
        <f>IF(HRRampUp!I12*PayrollBreakdown_Raw!$D$10=0,"",HRRampUp!I12*PayrollBreakdown_Raw!$D$10)</f>
        <v>5000</v>
      </c>
      <c r="I11" s="18">
        <f>IF(HRRampUp!J12*PayrollBreakdown_Raw!$D$10=0,"",HRRampUp!J12*PayrollBreakdown_Raw!$D$10)</f>
        <v>5000</v>
      </c>
      <c r="J11" s="18">
        <f>IF(HRRampUp!K12*PayrollBreakdown_Raw!$D$10=0,"",HRRampUp!K12*PayrollBreakdown_Raw!$D$10)</f>
        <v>5000</v>
      </c>
      <c r="K11" s="18">
        <f>IF(HRRampUp!L12*PayrollBreakdown_Raw!$D$10=0,"",HRRampUp!L12*PayrollBreakdown_Raw!$D$10)</f>
        <v>5000</v>
      </c>
      <c r="L11" s="18">
        <f>IF(HRRampUp!M12*PayrollBreakdown_Raw!$D$10=0,"",HRRampUp!M12*PayrollBreakdown_Raw!$D$10)</f>
        <v>5000</v>
      </c>
      <c r="M11" s="18">
        <f>IF(HRRampUp!N12*PayrollBreakdown_Raw!$D$10=0,"",HRRampUp!N12*PayrollBreakdown_Raw!$D$10)</f>
        <v>5000</v>
      </c>
      <c r="N11" s="18">
        <f>IF(HRRampUp!O12*PayrollBreakdown_Raw!$D$10=0,"",HRRampUp!O12*PayrollBreakdown_Raw!$D$10)</f>
        <v>5000</v>
      </c>
      <c r="O11" s="18">
        <f>IF(HRRampUp!P12*PayrollBreakdown_Raw!$D$10=0,"",HRRampUp!P12*PayrollBreakdown_Raw!$D$10)</f>
        <v>10000</v>
      </c>
      <c r="P11" s="18">
        <f>IF(HRRampUp!Q12*PayrollBreakdown_Raw!$D$10=0,"",HRRampUp!Q12*PayrollBreakdown_Raw!$D$10)</f>
        <v>10000</v>
      </c>
      <c r="Q11" s="18">
        <f>IF(HRRampUp!R12*PayrollBreakdown_Raw!$D$10=0,"",HRRampUp!R12*PayrollBreakdown_Raw!$D$10)</f>
        <v>10000</v>
      </c>
      <c r="R11" s="18">
        <f>IF(HRRampUp!S12*PayrollBreakdown_Raw!$D$10=0,"",HRRampUp!S12*PayrollBreakdown_Raw!$D$10)</f>
        <v>10000</v>
      </c>
      <c r="S11" s="18">
        <f>IF(HRRampUp!T12*PayrollBreakdown_Raw!$D$10=0,"",HRRampUp!T12*PayrollBreakdown_Raw!$D$10)</f>
        <v>10000</v>
      </c>
      <c r="T11" s="18">
        <f>IF(HRRampUp!U12*PayrollBreakdown_Raw!$D$10=0,"",HRRampUp!U12*PayrollBreakdown_Raw!$D$10)</f>
        <v>10000</v>
      </c>
      <c r="U11" s="18">
        <f>IF(HRRampUp!V12*PayrollBreakdown_Raw!$D$10=0,"",HRRampUp!V12*PayrollBreakdown_Raw!$D$10)</f>
        <v>10000</v>
      </c>
    </row>
    <row r="12" spans="1:21" x14ac:dyDescent="0.55000000000000004">
      <c r="A12" t="str">
        <f>HRRampUp!B13</f>
        <v>Quality Assurance (QA) Engineer</v>
      </c>
      <c r="B12" s="18" t="str">
        <f>IF(HRRampUp!C13*PayrollBreakdown_Raw!$C$16=0,"",HRRampUp!C13*PayrollBreakdown_Raw!$C$16)</f>
        <v/>
      </c>
      <c r="C12" s="18" t="str">
        <f>IF(HRRampUp!D13*PayrollBreakdown_Raw!$C$16=0,"",HRRampUp!D13*PayrollBreakdown_Raw!$C$16)</f>
        <v/>
      </c>
      <c r="D12" s="18" t="str">
        <f>IF(HRRampUp!E13*PayrollBreakdown_Raw!$C$16=0,"",HRRampUp!E13*PayrollBreakdown_Raw!$C$16)</f>
        <v/>
      </c>
      <c r="E12" s="18" t="str">
        <f>IF(HRRampUp!F13*PayrollBreakdown_Raw!$C$16=0,"",HRRampUp!F13*PayrollBreakdown_Raw!$C$16)</f>
        <v/>
      </c>
      <c r="F12" s="18" t="str">
        <f>IF(HRRampUp!G13*PayrollBreakdown_Raw!$C$16=0,"",HRRampUp!G13*PayrollBreakdown_Raw!$C$16)</f>
        <v/>
      </c>
      <c r="G12" s="18" t="str">
        <f>IF(HRRampUp!H13*PayrollBreakdown_Raw!$C$16=0,"",HRRampUp!H13*PayrollBreakdown_Raw!$C$16)</f>
        <v/>
      </c>
      <c r="H12" s="18" t="str">
        <f>IF(HRRampUp!I13*PayrollBreakdown_Raw!$C$16=0,"",HRRampUp!I13*PayrollBreakdown_Raw!$C$16)</f>
        <v/>
      </c>
      <c r="I12" s="18" t="str">
        <f>IF(HRRampUp!J13*PayrollBreakdown_Raw!$C$16=0,"",HRRampUp!J13*PayrollBreakdown_Raw!$C$16)</f>
        <v/>
      </c>
      <c r="J12" s="18">
        <f>IF(HRRampUp!K13*PayrollBreakdown_Raw!$C$16=0,"",HRRampUp!K13*PayrollBreakdown_Raw!$C$16)</f>
        <v>30000</v>
      </c>
      <c r="K12" s="18">
        <f>IF(HRRampUp!L13*PayrollBreakdown_Raw!$C$16=0,"",HRRampUp!L13*PayrollBreakdown_Raw!$C$16)</f>
        <v>30000</v>
      </c>
      <c r="L12" s="18">
        <f>IF(HRRampUp!M13*PayrollBreakdown_Raw!$C$16=0,"",HRRampUp!M13*PayrollBreakdown_Raw!$C$16)</f>
        <v>30000</v>
      </c>
      <c r="M12" s="18">
        <f>IF(HRRampUp!N13*PayrollBreakdown_Raw!$C$16=0,"",HRRampUp!N13*PayrollBreakdown_Raw!$C$16)</f>
        <v>30000</v>
      </c>
      <c r="N12" s="18">
        <f>IF(HRRampUp!O13*PayrollBreakdown_Raw!$C$16=0,"",HRRampUp!O13*PayrollBreakdown_Raw!$C$16)</f>
        <v>30000</v>
      </c>
      <c r="O12" s="18">
        <f>IF(HRRampUp!P13*PayrollBreakdown_Raw!$C$16=0,"",HRRampUp!P13*PayrollBreakdown_Raw!$C$16)</f>
        <v>30000</v>
      </c>
      <c r="P12" s="18">
        <f>IF(HRRampUp!Q13*PayrollBreakdown_Raw!$C$16=0,"",HRRampUp!Q13*PayrollBreakdown_Raw!$C$16)</f>
        <v>30000</v>
      </c>
      <c r="Q12" s="18">
        <f>IF(HRRampUp!R13*PayrollBreakdown_Raw!$C$16=0,"",HRRampUp!R13*PayrollBreakdown_Raw!$C$16)</f>
        <v>30000</v>
      </c>
      <c r="R12" s="18">
        <f>IF(HRRampUp!S13*PayrollBreakdown_Raw!$C$16=0,"",HRRampUp!S13*PayrollBreakdown_Raw!$C$16)</f>
        <v>30000</v>
      </c>
      <c r="S12" s="18">
        <f>IF(HRRampUp!T13*PayrollBreakdown_Raw!$C$16=0,"",HRRampUp!T13*PayrollBreakdown_Raw!$C$16)</f>
        <v>30000</v>
      </c>
      <c r="T12" s="18">
        <f>IF(HRRampUp!U13*PayrollBreakdown_Raw!$C$16=0,"",HRRampUp!U13*PayrollBreakdown_Raw!$C$16)</f>
        <v>30000</v>
      </c>
      <c r="U12" s="18">
        <f>IF(HRRampUp!V13*PayrollBreakdown_Raw!$C$16=0,"",HRRampUp!V13*PayrollBreakdown_Raw!$C$16)</f>
        <v>30000</v>
      </c>
    </row>
    <row r="13" spans="1:21" x14ac:dyDescent="0.55000000000000004">
      <c r="A13" t="str">
        <f>HRRampUp!B14</f>
        <v>Customer Support Lead</v>
      </c>
      <c r="B13" s="18" t="str">
        <f>IF(HRRampUp!C14*PayrollBreakdown_Raw!$D$11=0,"",HRRampUp!C14*PayrollBreakdown_Raw!$D$11)</f>
        <v/>
      </c>
      <c r="C13" s="18" t="str">
        <f>IF(HRRampUp!D14*PayrollBreakdown_Raw!$D$11=0,"",HRRampUp!D14*PayrollBreakdown_Raw!$D$11)</f>
        <v/>
      </c>
      <c r="D13" s="18" t="str">
        <f>IF(HRRampUp!E14*PayrollBreakdown_Raw!$D$11=0,"",HRRampUp!E14*PayrollBreakdown_Raw!$D$11)</f>
        <v/>
      </c>
      <c r="E13" s="18" t="str">
        <f>IF(HRRampUp!F14*PayrollBreakdown_Raw!$D$11=0,"",HRRampUp!F14*PayrollBreakdown_Raw!$D$11)</f>
        <v/>
      </c>
      <c r="F13" s="18" t="str">
        <f>IF(HRRampUp!G14*PayrollBreakdown_Raw!$D$11=0,"",HRRampUp!G14*PayrollBreakdown_Raw!$D$11)</f>
        <v/>
      </c>
      <c r="G13" s="18" t="str">
        <f>IF(HRRampUp!H14*PayrollBreakdown_Raw!$D$11=0,"",HRRampUp!H14*PayrollBreakdown_Raw!$D$11)</f>
        <v/>
      </c>
      <c r="H13" s="18" t="str">
        <f>IF(HRRampUp!I14*PayrollBreakdown_Raw!$D$11=0,"",HRRampUp!I14*PayrollBreakdown_Raw!$D$11)</f>
        <v/>
      </c>
      <c r="I13" s="18" t="str">
        <f>IF(HRRampUp!J14*PayrollBreakdown_Raw!$D$11=0,"",HRRampUp!J14*PayrollBreakdown_Raw!$D$11)</f>
        <v/>
      </c>
      <c r="J13" s="18" t="str">
        <f>IF(HRRampUp!K14*PayrollBreakdown_Raw!$D$11=0,"",HRRampUp!K14*PayrollBreakdown_Raw!$D$11)</f>
        <v/>
      </c>
      <c r="K13" s="18" t="str">
        <f>IF(HRRampUp!L14*PayrollBreakdown_Raw!$D$11=0,"",HRRampUp!L14*PayrollBreakdown_Raw!$D$11)</f>
        <v/>
      </c>
      <c r="L13" s="18" t="str">
        <f>IF(HRRampUp!M14*PayrollBreakdown_Raw!$D$11=0,"",HRRampUp!M14*PayrollBreakdown_Raw!$D$11)</f>
        <v/>
      </c>
      <c r="M13" s="18" t="str">
        <f>IF(HRRampUp!N14*PayrollBreakdown_Raw!$D$11=0,"",HRRampUp!N14*PayrollBreakdown_Raw!$D$11)</f>
        <v/>
      </c>
      <c r="N13" s="18">
        <f>IF(HRRampUp!O14*PayrollBreakdown_Raw!$D$11=0,"",HRRampUp!O14*PayrollBreakdown_Raw!$D$11)</f>
        <v>12500</v>
      </c>
      <c r="O13" s="18">
        <f>IF(HRRampUp!P14*PayrollBreakdown_Raw!$D$11=0,"",HRRampUp!P14*PayrollBreakdown_Raw!$D$11)</f>
        <v>12500</v>
      </c>
      <c r="P13" s="18">
        <f>IF(HRRampUp!Q14*PayrollBreakdown_Raw!$D$11=0,"",HRRampUp!Q14*PayrollBreakdown_Raw!$D$11)</f>
        <v>12500</v>
      </c>
      <c r="Q13" s="18">
        <f>IF(HRRampUp!R14*PayrollBreakdown_Raw!$D$11=0,"",HRRampUp!R14*PayrollBreakdown_Raw!$D$11)</f>
        <v>12500</v>
      </c>
      <c r="R13" s="18">
        <f>IF(HRRampUp!S14*PayrollBreakdown_Raw!$D$11=0,"",HRRampUp!S14*PayrollBreakdown_Raw!$D$11)</f>
        <v>12500</v>
      </c>
      <c r="S13" s="18">
        <f>IF(HRRampUp!T14*PayrollBreakdown_Raw!$D$11=0,"",HRRampUp!T14*PayrollBreakdown_Raw!$D$11)</f>
        <v>12500</v>
      </c>
      <c r="T13" s="18">
        <f>IF(HRRampUp!U14*PayrollBreakdown_Raw!$D$11=0,"",HRRampUp!U14*PayrollBreakdown_Raw!$D$11)</f>
        <v>12500</v>
      </c>
      <c r="U13" s="18">
        <f>IF(HRRampUp!V14*PayrollBreakdown_Raw!$D$11=0,"",HRRampUp!V14*PayrollBreakdown_Raw!$D$11)</f>
        <v>12500</v>
      </c>
    </row>
    <row r="14" spans="1:21" x14ac:dyDescent="0.55000000000000004">
      <c r="A14" t="str">
        <f>HRRampUp!B15</f>
        <v>Human Resources (HR) Manager</v>
      </c>
      <c r="B14" s="18" t="str">
        <f>IF(HRRampUp!C15*PayrollBreakdown_Raw!$D$13=0,"",HRRampUp!C15*PayrollBreakdown_Raw!$D$13)</f>
        <v/>
      </c>
      <c r="C14" s="18" t="str">
        <f>IF(HRRampUp!D15*PayrollBreakdown_Raw!$D$13=0,"",HRRampUp!D15*PayrollBreakdown_Raw!$D$13)</f>
        <v/>
      </c>
      <c r="D14" s="18" t="str">
        <f>IF(HRRampUp!E15*PayrollBreakdown_Raw!$D$13=0,"",HRRampUp!E15*PayrollBreakdown_Raw!$D$13)</f>
        <v/>
      </c>
      <c r="E14" s="18" t="str">
        <f>IF(HRRampUp!F15*PayrollBreakdown_Raw!$D$13=0,"",HRRampUp!F15*PayrollBreakdown_Raw!$D$13)</f>
        <v/>
      </c>
      <c r="F14" s="18" t="str">
        <f>IF(HRRampUp!G15*PayrollBreakdown_Raw!$D$13=0,"",HRRampUp!G15*PayrollBreakdown_Raw!$D$13)</f>
        <v/>
      </c>
      <c r="G14" s="18" t="str">
        <f>IF(HRRampUp!H15*PayrollBreakdown_Raw!$D$13=0,"",HRRampUp!H15*PayrollBreakdown_Raw!$D$13)</f>
        <v/>
      </c>
      <c r="H14" s="18" t="str">
        <f>IF(HRRampUp!I15*PayrollBreakdown_Raw!$D$13=0,"",HRRampUp!I15*PayrollBreakdown_Raw!$D$13)</f>
        <v/>
      </c>
      <c r="I14" s="18" t="str">
        <f>IF(HRRampUp!J15*PayrollBreakdown_Raw!$D$13=0,"",HRRampUp!J15*PayrollBreakdown_Raw!$D$13)</f>
        <v/>
      </c>
      <c r="J14" s="18" t="str">
        <f>IF(HRRampUp!K15*PayrollBreakdown_Raw!$D$13=0,"",HRRampUp!K15*PayrollBreakdown_Raw!$D$13)</f>
        <v/>
      </c>
      <c r="K14" s="18" t="str">
        <f>IF(HRRampUp!L15*PayrollBreakdown_Raw!$D$13=0,"",HRRampUp!L15*PayrollBreakdown_Raw!$D$13)</f>
        <v/>
      </c>
      <c r="L14" s="18" t="str">
        <f>IF(HRRampUp!M15*PayrollBreakdown_Raw!$D$13=0,"",HRRampUp!M15*PayrollBreakdown_Raw!$D$13)</f>
        <v/>
      </c>
      <c r="M14" s="18">
        <f>IF(HRRampUp!N15*PayrollBreakdown_Raw!$D$13=0,"",HRRampUp!N15*PayrollBreakdown_Raw!$D$13)</f>
        <v>7500</v>
      </c>
      <c r="N14" s="18">
        <f>IF(HRRampUp!O15*PayrollBreakdown_Raw!$D$13=0,"",HRRampUp!O15*PayrollBreakdown_Raw!$D$13)</f>
        <v>7500</v>
      </c>
      <c r="O14" s="18">
        <f>IF(HRRampUp!P15*PayrollBreakdown_Raw!$D$13=0,"",HRRampUp!P15*PayrollBreakdown_Raw!$D$13)</f>
        <v>7500</v>
      </c>
      <c r="P14" s="18">
        <f>IF(HRRampUp!Q15*PayrollBreakdown_Raw!$D$13=0,"",HRRampUp!Q15*PayrollBreakdown_Raw!$D$13)</f>
        <v>7500</v>
      </c>
      <c r="Q14" s="18">
        <f>IF(HRRampUp!R15*PayrollBreakdown_Raw!$D$13=0,"",HRRampUp!R15*PayrollBreakdown_Raw!$D$13)</f>
        <v>7500</v>
      </c>
      <c r="R14" s="18">
        <f>IF(HRRampUp!S15*PayrollBreakdown_Raw!$D$13=0,"",HRRampUp!S15*PayrollBreakdown_Raw!$D$13)</f>
        <v>7500</v>
      </c>
      <c r="S14" s="18">
        <f>IF(HRRampUp!T15*PayrollBreakdown_Raw!$D$13=0,"",HRRampUp!T15*PayrollBreakdown_Raw!$D$13)</f>
        <v>7500</v>
      </c>
      <c r="T14" s="18">
        <f>IF(HRRampUp!U15*PayrollBreakdown_Raw!$D$13=0,"",HRRampUp!U15*PayrollBreakdown_Raw!$D$13)</f>
        <v>7500</v>
      </c>
      <c r="U14" s="18">
        <f>IF(HRRampUp!V15*PayrollBreakdown_Raw!$D$13=0,"",HRRampUp!V15*PayrollBreakdown_Raw!$D$13)</f>
        <v>7500</v>
      </c>
    </row>
    <row r="15" spans="1:21" x14ac:dyDescent="0.55000000000000004">
      <c r="A15" t="str">
        <f>HRRampUp!B16</f>
        <v>Product Manager</v>
      </c>
      <c r="B15" s="18" t="str">
        <f>IF(HRRampUp!C16*PayrollBreakdown_Raw!$D$12=0,"",HRRampUp!C16*PayrollBreakdown_Raw!$D$12)</f>
        <v/>
      </c>
      <c r="C15" s="18" t="str">
        <f>IF(HRRampUp!D16*PayrollBreakdown_Raw!$D$12=0,"",HRRampUp!D16*PayrollBreakdown_Raw!$D$12)</f>
        <v/>
      </c>
      <c r="D15" s="18" t="str">
        <f>IF(HRRampUp!E16*PayrollBreakdown_Raw!$D$12=0,"",HRRampUp!E16*PayrollBreakdown_Raw!$D$12)</f>
        <v/>
      </c>
      <c r="E15" s="18" t="str">
        <f>IF(HRRampUp!F16*PayrollBreakdown_Raw!$D$12=0,"",HRRampUp!F16*PayrollBreakdown_Raw!$D$12)</f>
        <v/>
      </c>
      <c r="F15" s="18" t="str">
        <f>IF(HRRampUp!G16*PayrollBreakdown_Raw!$D$12=0,"",HRRampUp!G16*PayrollBreakdown_Raw!$D$12)</f>
        <v/>
      </c>
      <c r="G15" s="18" t="str">
        <f>IF(HRRampUp!H16*PayrollBreakdown_Raw!$D$12=0,"",HRRampUp!H16*PayrollBreakdown_Raw!$D$12)</f>
        <v/>
      </c>
      <c r="H15" s="18" t="str">
        <f>IF(HRRampUp!I16*PayrollBreakdown_Raw!$D$12=0,"",HRRampUp!I16*PayrollBreakdown_Raw!$D$12)</f>
        <v/>
      </c>
      <c r="I15" s="18" t="str">
        <f>IF(HRRampUp!J16*PayrollBreakdown_Raw!$D$12=0,"",HRRampUp!J16*PayrollBreakdown_Raw!$D$12)</f>
        <v/>
      </c>
      <c r="J15" s="18" t="str">
        <f>IF(HRRampUp!K16*PayrollBreakdown_Raw!$D$12=0,"",HRRampUp!K16*PayrollBreakdown_Raw!$D$12)</f>
        <v/>
      </c>
      <c r="K15" s="18" t="str">
        <f>IF(HRRampUp!L16*PayrollBreakdown_Raw!$D$12=0,"",HRRampUp!L16*PayrollBreakdown_Raw!$D$12)</f>
        <v/>
      </c>
      <c r="L15" s="18" t="str">
        <f>IF(HRRampUp!M16*PayrollBreakdown_Raw!$D$12=0,"",HRRampUp!M16*PayrollBreakdown_Raw!$D$12)</f>
        <v/>
      </c>
      <c r="M15" s="18" t="str">
        <f>IF(HRRampUp!N16*PayrollBreakdown_Raw!$D$12=0,"",HRRampUp!N16*PayrollBreakdown_Raw!$D$12)</f>
        <v/>
      </c>
      <c r="N15" s="18">
        <f>IF(HRRampUp!O16*PayrollBreakdown_Raw!$D$12=0,"",HRRampUp!O16*PayrollBreakdown_Raw!$D$12)</f>
        <v>7500</v>
      </c>
      <c r="O15" s="18">
        <f>IF(HRRampUp!P16*PayrollBreakdown_Raw!$D$12=0,"",HRRampUp!P16*PayrollBreakdown_Raw!$D$12)</f>
        <v>7500</v>
      </c>
      <c r="P15" s="18">
        <f>IF(HRRampUp!Q16*PayrollBreakdown_Raw!$D$12=0,"",HRRampUp!Q16*PayrollBreakdown_Raw!$D$12)</f>
        <v>7500</v>
      </c>
      <c r="Q15" s="18">
        <f>IF(HRRampUp!R16*PayrollBreakdown_Raw!$D$12=0,"",HRRampUp!R16*PayrollBreakdown_Raw!$D$12)</f>
        <v>7500</v>
      </c>
      <c r="R15" s="18">
        <f>IF(HRRampUp!S16*PayrollBreakdown_Raw!$D$12=0,"",HRRampUp!S16*PayrollBreakdown_Raw!$D$12)</f>
        <v>7500</v>
      </c>
      <c r="S15" s="18">
        <f>IF(HRRampUp!T16*PayrollBreakdown_Raw!$D$12=0,"",HRRampUp!T16*PayrollBreakdown_Raw!$D$12)</f>
        <v>7500</v>
      </c>
      <c r="T15" s="18">
        <f>IF(HRRampUp!U16*PayrollBreakdown_Raw!$D$12=0,"",HRRampUp!U16*PayrollBreakdown_Raw!$D$12)</f>
        <v>7500</v>
      </c>
      <c r="U15" s="18">
        <f>IF(HRRampUp!V16*PayrollBreakdown_Raw!$D$12=0,"",HRRampUp!V16*PayrollBreakdown_Raw!$D$12)</f>
        <v>7500</v>
      </c>
    </row>
    <row r="16" spans="1:21" x14ac:dyDescent="0.55000000000000004">
      <c r="A16" t="str">
        <f>HRRampUp!B17</f>
        <v>DevOps Engineer</v>
      </c>
      <c r="B16" s="18" t="str">
        <f>IF(HRRampUp!C17*PayrollBreakdown_Raw!$D$17=0,"",HRRampUp!C17*PayrollBreakdown_Raw!$D$17)</f>
        <v/>
      </c>
      <c r="C16" s="18" t="str">
        <f>IF(HRRampUp!D17*PayrollBreakdown_Raw!$D$17=0,"",HRRampUp!D17*PayrollBreakdown_Raw!$D$17)</f>
        <v/>
      </c>
      <c r="D16" s="18" t="str">
        <f>IF(HRRampUp!E17*PayrollBreakdown_Raw!$D$17=0,"",HRRampUp!E17*PayrollBreakdown_Raw!$D$17)</f>
        <v/>
      </c>
      <c r="E16" s="18" t="str">
        <f>IF(HRRampUp!F17*PayrollBreakdown_Raw!$D$17=0,"",HRRampUp!F17*PayrollBreakdown_Raw!$D$17)</f>
        <v/>
      </c>
      <c r="F16" s="18" t="str">
        <f>IF(HRRampUp!G17*PayrollBreakdown_Raw!$D$17=0,"",HRRampUp!G17*PayrollBreakdown_Raw!$D$17)</f>
        <v/>
      </c>
      <c r="G16" s="18" t="str">
        <f>IF(HRRampUp!H17*PayrollBreakdown_Raw!$D$17=0,"",HRRampUp!H17*PayrollBreakdown_Raw!$D$17)</f>
        <v/>
      </c>
      <c r="H16" s="18" t="str">
        <f>IF(HRRampUp!I17*PayrollBreakdown_Raw!$D$17=0,"",HRRampUp!I17*PayrollBreakdown_Raw!$D$17)</f>
        <v/>
      </c>
      <c r="I16" s="18" t="str">
        <f>IF(HRRampUp!J17*PayrollBreakdown_Raw!$D$17=0,"",HRRampUp!J17*PayrollBreakdown_Raw!$D$17)</f>
        <v/>
      </c>
      <c r="J16" s="18" t="str">
        <f>IF(HRRampUp!K17*PayrollBreakdown_Raw!$D$17=0,"",HRRampUp!K17*PayrollBreakdown_Raw!$D$17)</f>
        <v/>
      </c>
      <c r="K16" s="18" t="str">
        <f>IF(HRRampUp!L17*PayrollBreakdown_Raw!$D$17=0,"",HRRampUp!L17*PayrollBreakdown_Raw!$D$17)</f>
        <v/>
      </c>
      <c r="L16" s="18" t="str">
        <f>IF(HRRampUp!M17*PayrollBreakdown_Raw!$D$17=0,"",HRRampUp!M17*PayrollBreakdown_Raw!$D$17)</f>
        <v/>
      </c>
      <c r="M16" s="18" t="str">
        <f>IF(HRRampUp!N17*PayrollBreakdown_Raw!$D$17=0,"",HRRampUp!N17*PayrollBreakdown_Raw!$D$17)</f>
        <v/>
      </c>
      <c r="N16" s="18">
        <f>IF(HRRampUp!O17*PayrollBreakdown_Raw!$D$17=0,"",HRRampUp!O17*PayrollBreakdown_Raw!$D$17)</f>
        <v>30000</v>
      </c>
      <c r="O16" s="18">
        <f>IF(HRRampUp!P17*PayrollBreakdown_Raw!$D$17=0,"",HRRampUp!P17*PayrollBreakdown_Raw!$D$17)</f>
        <v>30000</v>
      </c>
      <c r="P16" s="18">
        <f>IF(HRRampUp!Q17*PayrollBreakdown_Raw!$D$17=0,"",HRRampUp!Q17*PayrollBreakdown_Raw!$D$17)</f>
        <v>30000</v>
      </c>
      <c r="Q16" s="18">
        <f>IF(HRRampUp!R17*PayrollBreakdown_Raw!$D$17=0,"",HRRampUp!R17*PayrollBreakdown_Raw!$D$17)</f>
        <v>30000</v>
      </c>
      <c r="R16" s="18">
        <f>IF(HRRampUp!S17*PayrollBreakdown_Raw!$D$17=0,"",HRRampUp!S17*PayrollBreakdown_Raw!$D$17)</f>
        <v>30000</v>
      </c>
      <c r="S16" s="18">
        <f>IF(HRRampUp!T17*PayrollBreakdown_Raw!$D$17=0,"",HRRampUp!T17*PayrollBreakdown_Raw!$D$17)</f>
        <v>30000</v>
      </c>
      <c r="T16" s="18">
        <f>IF(HRRampUp!U17*PayrollBreakdown_Raw!$D$17=0,"",HRRampUp!U17*PayrollBreakdown_Raw!$D$17)</f>
        <v>30000</v>
      </c>
      <c r="U16" s="18">
        <f>IF(HRRampUp!V17*PayrollBreakdown_Raw!$D$17=0,"",HRRampUp!V17*PayrollBreakdown_Raw!$D$17)</f>
        <v>30000</v>
      </c>
    </row>
    <row r="17" spans="1:21" x14ac:dyDescent="0.55000000000000004">
      <c r="A17" t="str">
        <f>HRRampUp!B18</f>
        <v>Customer Support Representative</v>
      </c>
      <c r="B17" s="18" t="str">
        <f>IF(HRRampUp!C18*PayrollBreakdown_Raw!$D$18=0,"",HRRampUp!C18*PayrollBreakdown_Raw!$D$18)</f>
        <v/>
      </c>
      <c r="C17" s="18" t="str">
        <f>IF(HRRampUp!D18*PayrollBreakdown_Raw!$D$18=0,"",HRRampUp!D18*PayrollBreakdown_Raw!$D$18)</f>
        <v/>
      </c>
      <c r="D17" s="18" t="str">
        <f>IF(HRRampUp!E18*PayrollBreakdown_Raw!$D$18=0,"",HRRampUp!E18*PayrollBreakdown_Raw!$D$18)</f>
        <v/>
      </c>
      <c r="E17" s="18" t="str">
        <f>IF(HRRampUp!F18*PayrollBreakdown_Raw!$D$18=0,"",HRRampUp!F18*PayrollBreakdown_Raw!$D$18)</f>
        <v/>
      </c>
      <c r="F17" s="18" t="str">
        <f>IF(HRRampUp!G18*PayrollBreakdown_Raw!$D$18=0,"",HRRampUp!G18*PayrollBreakdown_Raw!$D$18)</f>
        <v/>
      </c>
      <c r="G17" s="18" t="str">
        <f>IF(HRRampUp!H18*PayrollBreakdown_Raw!$D$18=0,"",HRRampUp!H18*PayrollBreakdown_Raw!$D$18)</f>
        <v/>
      </c>
      <c r="H17" s="18" t="str">
        <f>IF(HRRampUp!I18*PayrollBreakdown_Raw!$D$18=0,"",HRRampUp!I18*PayrollBreakdown_Raw!$D$18)</f>
        <v/>
      </c>
      <c r="I17" s="18" t="str">
        <f>IF(HRRampUp!J18*PayrollBreakdown_Raw!$D$18=0,"",HRRampUp!J18*PayrollBreakdown_Raw!$D$18)</f>
        <v/>
      </c>
      <c r="J17" s="18">
        <f>IF(HRRampUp!K18*PayrollBreakdown_Raw!$D$18=0,"",HRRampUp!K18*PayrollBreakdown_Raw!$D$18)</f>
        <v>10000</v>
      </c>
      <c r="K17" s="18">
        <f>IF(HRRampUp!L18*PayrollBreakdown_Raw!$D$18=0,"",HRRampUp!L18*PayrollBreakdown_Raw!$D$18)</f>
        <v>10000</v>
      </c>
      <c r="L17" s="18">
        <f>IF(HRRampUp!M18*PayrollBreakdown_Raw!$D$18=0,"",HRRampUp!M18*PayrollBreakdown_Raw!$D$18)</f>
        <v>10000</v>
      </c>
      <c r="M17" s="18">
        <f>IF(HRRampUp!N18*PayrollBreakdown_Raw!$D$18=0,"",HRRampUp!N18*PayrollBreakdown_Raw!$D$18)</f>
        <v>10000</v>
      </c>
      <c r="N17" s="18">
        <f>IF(HRRampUp!O18*PayrollBreakdown_Raw!$D$18=0,"",HRRampUp!O18*PayrollBreakdown_Raw!$D$18)</f>
        <v>10000</v>
      </c>
      <c r="O17" s="18">
        <f>IF(HRRampUp!P18*PayrollBreakdown_Raw!$D$18=0,"",HRRampUp!P18*PayrollBreakdown_Raw!$D$18)</f>
        <v>10000</v>
      </c>
      <c r="P17" s="18">
        <f>IF(HRRampUp!Q18*PayrollBreakdown_Raw!$D$18=0,"",HRRampUp!Q18*PayrollBreakdown_Raw!$D$18)</f>
        <v>10000</v>
      </c>
      <c r="Q17" s="18">
        <f>IF(HRRampUp!R18*PayrollBreakdown_Raw!$D$18=0,"",HRRampUp!R18*PayrollBreakdown_Raw!$D$18)</f>
        <v>10000</v>
      </c>
      <c r="R17" s="18">
        <f>IF(HRRampUp!S18*PayrollBreakdown_Raw!$D$18=0,"",HRRampUp!S18*PayrollBreakdown_Raw!$D$18)</f>
        <v>10000</v>
      </c>
      <c r="S17" s="18">
        <f>IF(HRRampUp!T18*PayrollBreakdown_Raw!$D$18=0,"",HRRampUp!T18*PayrollBreakdown_Raw!$D$18)</f>
        <v>10000</v>
      </c>
      <c r="T17" s="18">
        <f>IF(HRRampUp!U18*PayrollBreakdown_Raw!$D$18=0,"",HRRampUp!U18*PayrollBreakdown_Raw!$D$18)</f>
        <v>10000</v>
      </c>
      <c r="U17" s="18">
        <f>IF(HRRampUp!V18*PayrollBreakdown_Raw!$D$18=0,"",HRRampUp!V18*PayrollBreakdown_Raw!$D$18)</f>
        <v>10000</v>
      </c>
    </row>
    <row r="18" spans="1:21" x14ac:dyDescent="0.55000000000000004">
      <c r="A18" t="str">
        <f>HRRampUp!B19</f>
        <v>Account Manager</v>
      </c>
      <c r="B18" s="18" t="str">
        <f>IF(HRRampUp!C19*PayrollBreakdown_Raw!$D$19=0,"",HRRampUp!C19*PayrollBreakdown_Raw!$D$19)</f>
        <v/>
      </c>
      <c r="C18" s="18" t="str">
        <f>IF(HRRampUp!D19*PayrollBreakdown_Raw!$D$19=0,"",HRRampUp!D19*PayrollBreakdown_Raw!$D$19)</f>
        <v/>
      </c>
      <c r="D18" s="18" t="str">
        <f>IF(HRRampUp!E19*PayrollBreakdown_Raw!$D$19=0,"",HRRampUp!E19*PayrollBreakdown_Raw!$D$19)</f>
        <v/>
      </c>
      <c r="E18" s="18" t="str">
        <f>IF(HRRampUp!F19*PayrollBreakdown_Raw!$D$19=0,"",HRRampUp!F19*PayrollBreakdown_Raw!$D$19)</f>
        <v/>
      </c>
      <c r="F18" s="18" t="str">
        <f>IF(HRRampUp!G19*PayrollBreakdown_Raw!$D$19=0,"",HRRampUp!G19*PayrollBreakdown_Raw!$D$19)</f>
        <v/>
      </c>
      <c r="G18" s="18" t="str">
        <f>IF(HRRampUp!H19*PayrollBreakdown_Raw!$D$19=0,"",HRRampUp!H19*PayrollBreakdown_Raw!$D$19)</f>
        <v/>
      </c>
      <c r="H18" s="18" t="str">
        <f>IF(HRRampUp!I19*PayrollBreakdown_Raw!$D$19=0,"",HRRampUp!I19*PayrollBreakdown_Raw!$D$19)</f>
        <v/>
      </c>
      <c r="I18" s="18" t="str">
        <f>IF(HRRampUp!J19*PayrollBreakdown_Raw!$D$19=0,"",HRRampUp!J19*PayrollBreakdown_Raw!$D$19)</f>
        <v/>
      </c>
      <c r="J18" s="18" t="str">
        <f>IF(HRRampUp!K19*PayrollBreakdown_Raw!$D$19=0,"",HRRampUp!K19*PayrollBreakdown_Raw!$D$19)</f>
        <v/>
      </c>
      <c r="K18" s="18" t="str">
        <f>IF(HRRampUp!L19*PayrollBreakdown_Raw!$D$19=0,"",HRRampUp!L19*PayrollBreakdown_Raw!$D$19)</f>
        <v/>
      </c>
      <c r="L18" s="18" t="str">
        <f>IF(HRRampUp!M19*PayrollBreakdown_Raw!$D$19=0,"",HRRampUp!M19*PayrollBreakdown_Raw!$D$19)</f>
        <v/>
      </c>
      <c r="M18" s="18" t="str">
        <f>IF(HRRampUp!N19*PayrollBreakdown_Raw!$D$19=0,"",HRRampUp!N19*PayrollBreakdown_Raw!$D$19)</f>
        <v/>
      </c>
      <c r="N18" s="18">
        <f>IF(HRRampUp!O19*PayrollBreakdown_Raw!$D$19=0,"",HRRampUp!O19*PayrollBreakdown_Raw!$D$19)</f>
        <v>20000</v>
      </c>
      <c r="O18" s="18">
        <f>IF(HRRampUp!P19*PayrollBreakdown_Raw!$D$19=0,"",HRRampUp!P19*PayrollBreakdown_Raw!$D$19)</f>
        <v>20000</v>
      </c>
      <c r="P18" s="18">
        <f>IF(HRRampUp!Q19*PayrollBreakdown_Raw!$D$19=0,"",HRRampUp!Q19*PayrollBreakdown_Raw!$D$19)</f>
        <v>20000</v>
      </c>
      <c r="Q18" s="18">
        <f>IF(HRRampUp!R19*PayrollBreakdown_Raw!$D$19=0,"",HRRampUp!R19*PayrollBreakdown_Raw!$D$19)</f>
        <v>20000</v>
      </c>
      <c r="R18" s="18">
        <f>IF(HRRampUp!S19*PayrollBreakdown_Raw!$D$19=0,"",HRRampUp!S19*PayrollBreakdown_Raw!$D$19)</f>
        <v>20000</v>
      </c>
      <c r="S18" s="18">
        <f>IF(HRRampUp!T19*PayrollBreakdown_Raw!$D$19=0,"",HRRampUp!T19*PayrollBreakdown_Raw!$D$19)</f>
        <v>20000</v>
      </c>
      <c r="T18" s="18">
        <f>IF(HRRampUp!U19*PayrollBreakdown_Raw!$D$19=0,"",HRRampUp!U19*PayrollBreakdown_Raw!$D$19)</f>
        <v>20000</v>
      </c>
      <c r="U18" s="18">
        <f>IF(HRRampUp!V19*PayrollBreakdown_Raw!$D$19=0,"",HRRampUp!V19*PayrollBreakdown_Raw!$D$19)</f>
        <v>20000</v>
      </c>
    </row>
    <row r="19" spans="1:21" x14ac:dyDescent="0.55000000000000004">
      <c r="A19" t="str">
        <f>HRRampUp!B20</f>
        <v>Legal Counsel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pans="1:21" x14ac:dyDescent="0.55000000000000004">
      <c r="A20" t="str">
        <f>HRRampUp!B21</f>
        <v>Bookkeeper</v>
      </c>
      <c r="B20" s="19" t="str">
        <f>IF(HRRampUp!C21*PayrollBreakdown_Raw!$D$14=0,"",HRRampUp!C21*PayrollBreakdown_Raw!$D$14)</f>
        <v/>
      </c>
      <c r="C20" s="19" t="str">
        <f>IF(HRRampUp!D21*PayrollBreakdown_Raw!$D$14=0,"",HRRampUp!D21*PayrollBreakdown_Raw!$D$14)</f>
        <v/>
      </c>
      <c r="D20" s="19" t="str">
        <f>IF(HRRampUp!E21*PayrollBreakdown_Raw!$D$14=0,"",HRRampUp!E21*PayrollBreakdown_Raw!$D$14)</f>
        <v/>
      </c>
      <c r="E20" s="19" t="str">
        <f>IF(HRRampUp!F21*PayrollBreakdown_Raw!$D$14=0,"",HRRampUp!F21*PayrollBreakdown_Raw!$D$14)</f>
        <v/>
      </c>
      <c r="F20" s="19" t="str">
        <f>IF(HRRampUp!G21*PayrollBreakdown_Raw!$D$14=0,"",HRRampUp!G21*PayrollBreakdown_Raw!$D$14)</f>
        <v/>
      </c>
      <c r="G20" s="19" t="str">
        <f>IF(HRRampUp!H21*PayrollBreakdown_Raw!$D$14=0,"",HRRampUp!H21*PayrollBreakdown_Raw!$D$14)</f>
        <v/>
      </c>
      <c r="H20" s="19" t="str">
        <f>IF(HRRampUp!I21*PayrollBreakdown_Raw!$D$14=0,"",HRRampUp!I21*PayrollBreakdown_Raw!$D$14)</f>
        <v/>
      </c>
      <c r="I20" s="19" t="str">
        <f>IF(HRRampUp!J21*PayrollBreakdown_Raw!$D$14=0,"",HRRampUp!J21*PayrollBreakdown_Raw!$D$14)</f>
        <v/>
      </c>
      <c r="J20" s="19" t="str">
        <f>IF(HRRampUp!K21*PayrollBreakdown_Raw!$D$14=0,"",HRRampUp!K21*PayrollBreakdown_Raw!$D$14)</f>
        <v/>
      </c>
      <c r="K20" s="19" t="str">
        <f>IF(HRRampUp!L21*PayrollBreakdown_Raw!$D$14=0,"",HRRampUp!L21*PayrollBreakdown_Raw!$D$14)</f>
        <v/>
      </c>
      <c r="L20" s="19" t="str">
        <f>IF(HRRampUp!M21*PayrollBreakdown_Raw!$D$14=0,"",HRRampUp!M21*PayrollBreakdown_Raw!$D$14)</f>
        <v/>
      </c>
      <c r="M20" s="19" t="str">
        <f>IF(HRRampUp!N21*PayrollBreakdown_Raw!$D$14=0,"",HRRampUp!N21*PayrollBreakdown_Raw!$D$14)</f>
        <v/>
      </c>
      <c r="N20" s="19" t="str">
        <f>IF(HRRampUp!O21*PayrollBreakdown_Raw!$D$14=0,"",HRRampUp!O21*PayrollBreakdown_Raw!$D$14)</f>
        <v/>
      </c>
      <c r="O20" s="19" t="str">
        <f>IF(HRRampUp!P21*PayrollBreakdown_Raw!$D$14=0,"",HRRampUp!P21*PayrollBreakdown_Raw!$D$14)</f>
        <v/>
      </c>
      <c r="P20" s="19" t="str">
        <f>IF(HRRampUp!Q21*PayrollBreakdown_Raw!$D$14=0,"",HRRampUp!Q21*PayrollBreakdown_Raw!$D$14)</f>
        <v/>
      </c>
      <c r="Q20" s="19" t="str">
        <f>IF(HRRampUp!R21*PayrollBreakdown_Raw!$D$14=0,"",HRRampUp!R21*PayrollBreakdown_Raw!$D$14)</f>
        <v/>
      </c>
      <c r="R20" s="29">
        <f>IF(HRRampUp!S21*PayrollBreakdown_Raw!$D$14=0,"",HRRampUp!S21*PayrollBreakdown_Raw!$D$14)</f>
        <v>20000</v>
      </c>
      <c r="S20" s="29">
        <f>IF(HRRampUp!T21*PayrollBreakdown_Raw!$D$14=0,"",HRRampUp!T21*PayrollBreakdown_Raw!$D$14)</f>
        <v>20000</v>
      </c>
      <c r="T20" s="29">
        <f>IF(HRRampUp!U21*PayrollBreakdown_Raw!$D$14=0,"",HRRampUp!U21*PayrollBreakdown_Raw!$D$14)</f>
        <v>20000</v>
      </c>
      <c r="U20" s="29">
        <f>IF(HRRampUp!V21*PayrollBreakdown_Raw!$D$14=0,"",HRRampUp!V21*PayrollBreakdown_Raw!$D$14)</f>
        <v>20000</v>
      </c>
    </row>
    <row r="21" spans="1:21" x14ac:dyDescent="0.55000000000000004">
      <c r="A21" t="str">
        <f>HRRampUp!B22</f>
        <v>Accountant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pans="1:21" x14ac:dyDescent="0.55000000000000004">
      <c r="B22" s="18">
        <f>SUM(B3:B21)</f>
        <v>61250</v>
      </c>
      <c r="C22" s="18">
        <f t="shared" ref="C22:U22" si="0">SUM(C3:C21)</f>
        <v>71250</v>
      </c>
      <c r="D22" s="18">
        <f t="shared" si="0"/>
        <v>71250</v>
      </c>
      <c r="E22" s="18">
        <f t="shared" si="0"/>
        <v>71250</v>
      </c>
      <c r="F22" s="18">
        <f t="shared" si="0"/>
        <v>71250</v>
      </c>
      <c r="G22" s="18">
        <f t="shared" si="0"/>
        <v>76250</v>
      </c>
      <c r="H22" s="18">
        <f t="shared" si="0"/>
        <v>76250</v>
      </c>
      <c r="I22" s="18">
        <f t="shared" si="0"/>
        <v>76250</v>
      </c>
      <c r="J22" s="18">
        <f t="shared" si="0"/>
        <v>126250</v>
      </c>
      <c r="K22" s="18">
        <f t="shared" si="0"/>
        <v>126250</v>
      </c>
      <c r="L22" s="18">
        <f t="shared" si="0"/>
        <v>126250</v>
      </c>
      <c r="M22" s="18">
        <f t="shared" si="0"/>
        <v>133750</v>
      </c>
      <c r="N22" s="18">
        <f t="shared" si="0"/>
        <v>235000</v>
      </c>
      <c r="O22" s="18">
        <f t="shared" si="0"/>
        <v>250000</v>
      </c>
      <c r="P22" s="18">
        <f t="shared" si="0"/>
        <v>250000</v>
      </c>
      <c r="Q22" s="18">
        <f t="shared" si="0"/>
        <v>250000</v>
      </c>
      <c r="R22" s="18">
        <f t="shared" si="0"/>
        <v>270000</v>
      </c>
      <c r="S22" s="18">
        <f t="shared" si="0"/>
        <v>270000</v>
      </c>
      <c r="T22" s="18">
        <f t="shared" si="0"/>
        <v>270000</v>
      </c>
      <c r="U22" s="18">
        <f t="shared" si="0"/>
        <v>270000</v>
      </c>
    </row>
    <row r="23" spans="1:21" x14ac:dyDescent="0.55000000000000004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</row>
    <row r="24" spans="1:21" x14ac:dyDescent="0.55000000000000004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</row>
    <row r="25" spans="1:21" x14ac:dyDescent="0.55000000000000004"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</row>
    <row r="26" spans="1:21" x14ac:dyDescent="0.55000000000000004">
      <c r="B26" s="30" t="s">
        <v>0</v>
      </c>
      <c r="C26" s="20">
        <f>SUM(B3:E21)</f>
        <v>275000</v>
      </c>
      <c r="D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</row>
    <row r="27" spans="1:21" x14ac:dyDescent="0.55000000000000004">
      <c r="B27" s="30" t="s">
        <v>1</v>
      </c>
      <c r="C27" s="20">
        <f>SUM(F3:I21)</f>
        <v>300000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</row>
    <row r="28" spans="1:21" x14ac:dyDescent="0.55000000000000004">
      <c r="B28" s="30" t="s">
        <v>2</v>
      </c>
      <c r="C28" s="20">
        <f>SUM(J3:M21)</f>
        <v>512500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</row>
    <row r="29" spans="1:21" x14ac:dyDescent="0.55000000000000004">
      <c r="B29" s="30" t="s">
        <v>4</v>
      </c>
      <c r="C29" s="20">
        <f>SUM(N3:Q21)</f>
        <v>985000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</row>
    <row r="30" spans="1:21" x14ac:dyDescent="0.55000000000000004">
      <c r="B30" s="30" t="s">
        <v>5</v>
      </c>
      <c r="C30" s="20">
        <f>SUM(R3:U21)</f>
        <v>1080000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</row>
  </sheetData>
  <mergeCells count="5">
    <mergeCell ref="B1:E1"/>
    <mergeCell ref="F1:I1"/>
    <mergeCell ref="J1:M1"/>
    <mergeCell ref="N1:Q1"/>
    <mergeCell ref="R1:U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B2:H40"/>
  <sheetViews>
    <sheetView showGridLines="0" zoomScale="85" zoomScaleNormal="85" workbookViewId="0">
      <selection activeCell="R13" sqref="R13"/>
    </sheetView>
  </sheetViews>
  <sheetFormatPr defaultRowHeight="14.4" x14ac:dyDescent="0.55000000000000004"/>
  <cols>
    <col min="2" max="2" width="19.41796875" customWidth="1"/>
    <col min="3" max="3" width="22" customWidth="1"/>
    <col min="4" max="4" width="19.47265625" customWidth="1"/>
  </cols>
  <sheetData>
    <row r="2" spans="2:6" ht="14.7" thickBot="1" x14ac:dyDescent="0.6">
      <c r="B2" s="55" t="s">
        <v>56</v>
      </c>
      <c r="C2" s="55" t="s">
        <v>57</v>
      </c>
      <c r="D2" s="55" t="s">
        <v>66</v>
      </c>
      <c r="E2" s="13"/>
      <c r="F2" s="13"/>
    </row>
    <row r="3" spans="2:6" x14ac:dyDescent="0.55000000000000004">
      <c r="B3" s="56" t="s">
        <v>54</v>
      </c>
      <c r="C3" s="57">
        <v>150000</v>
      </c>
      <c r="D3" s="57">
        <f>C3/4</f>
        <v>37500</v>
      </c>
      <c r="E3" s="14"/>
      <c r="F3" s="15"/>
    </row>
    <row r="4" spans="2:6" ht="28.8" x14ac:dyDescent="0.55000000000000004">
      <c r="B4" s="58" t="s">
        <v>58</v>
      </c>
      <c r="C4" s="59">
        <v>40000</v>
      </c>
      <c r="D4" s="59">
        <f t="shared" ref="D4:D20" si="0">C4/4</f>
        <v>10000</v>
      </c>
      <c r="E4" s="14"/>
      <c r="F4" s="15"/>
    </row>
    <row r="5" spans="2:6" ht="28.8" x14ac:dyDescent="0.55000000000000004">
      <c r="B5" s="58" t="s">
        <v>59</v>
      </c>
      <c r="C5" s="59">
        <v>15000</v>
      </c>
      <c r="D5" s="59">
        <f t="shared" si="0"/>
        <v>3750</v>
      </c>
      <c r="E5" s="14"/>
      <c r="F5" s="15"/>
    </row>
    <row r="6" spans="2:6" ht="28.8" x14ac:dyDescent="0.55000000000000004">
      <c r="B6" s="58" t="s">
        <v>60</v>
      </c>
      <c r="C6" s="59">
        <v>40000</v>
      </c>
      <c r="D6" s="59">
        <f t="shared" si="0"/>
        <v>10000</v>
      </c>
      <c r="E6" s="14"/>
      <c r="F6" s="15"/>
    </row>
    <row r="7" spans="2:6" ht="28.8" x14ac:dyDescent="0.55000000000000004">
      <c r="B7" s="58" t="s">
        <v>61</v>
      </c>
      <c r="C7" s="59">
        <v>35000</v>
      </c>
      <c r="D7" s="59">
        <f t="shared" si="0"/>
        <v>8750</v>
      </c>
      <c r="E7" s="14"/>
      <c r="F7" s="15"/>
    </row>
    <row r="8" spans="2:6" ht="28.8" x14ac:dyDescent="0.55000000000000004">
      <c r="B8" s="58" t="s">
        <v>62</v>
      </c>
      <c r="C8" s="59">
        <v>40000</v>
      </c>
      <c r="D8" s="59">
        <f t="shared" si="0"/>
        <v>10000</v>
      </c>
      <c r="E8" s="14"/>
      <c r="F8" s="15"/>
    </row>
    <row r="9" spans="2:6" ht="28.8" x14ac:dyDescent="0.55000000000000004">
      <c r="B9" s="58" t="s">
        <v>43</v>
      </c>
      <c r="C9" s="59">
        <v>40000</v>
      </c>
      <c r="D9" s="59">
        <f t="shared" si="0"/>
        <v>10000</v>
      </c>
      <c r="E9" s="14"/>
      <c r="F9" s="15"/>
    </row>
    <row r="10" spans="2:6" ht="28.8" x14ac:dyDescent="0.55000000000000004">
      <c r="B10" s="58" t="s">
        <v>44</v>
      </c>
      <c r="C10" s="59">
        <v>20000</v>
      </c>
      <c r="D10" s="59">
        <f t="shared" si="0"/>
        <v>5000</v>
      </c>
      <c r="E10" s="14"/>
      <c r="F10" s="15"/>
    </row>
    <row r="11" spans="2:6" x14ac:dyDescent="0.55000000000000004">
      <c r="B11" s="58" t="s">
        <v>46</v>
      </c>
      <c r="C11" s="59">
        <v>50000</v>
      </c>
      <c r="D11" s="59">
        <f t="shared" si="0"/>
        <v>12500</v>
      </c>
      <c r="E11" s="14"/>
      <c r="F11" s="15"/>
    </row>
    <row r="12" spans="2:6" ht="28.8" x14ac:dyDescent="0.55000000000000004">
      <c r="B12" s="58" t="s">
        <v>63</v>
      </c>
      <c r="C12" s="59">
        <v>30000</v>
      </c>
      <c r="D12" s="59">
        <f t="shared" si="0"/>
        <v>7500</v>
      </c>
      <c r="E12" s="14"/>
      <c r="F12" s="15"/>
    </row>
    <row r="13" spans="2:6" ht="28.8" x14ac:dyDescent="0.55000000000000004">
      <c r="B13" s="58" t="s">
        <v>64</v>
      </c>
      <c r="C13" s="59">
        <v>30000</v>
      </c>
      <c r="D13" s="59">
        <f t="shared" si="0"/>
        <v>7500</v>
      </c>
      <c r="E13" s="14"/>
      <c r="F13" s="15"/>
    </row>
    <row r="14" spans="2:6" ht="28.8" x14ac:dyDescent="0.55000000000000004">
      <c r="B14" s="58" t="s">
        <v>65</v>
      </c>
      <c r="C14" s="59">
        <v>80000</v>
      </c>
      <c r="D14" s="59">
        <f t="shared" si="0"/>
        <v>20000</v>
      </c>
      <c r="E14" s="14"/>
      <c r="F14" s="15"/>
    </row>
    <row r="15" spans="2:6" x14ac:dyDescent="0.55000000000000004">
      <c r="B15" s="58" t="s">
        <v>42</v>
      </c>
      <c r="C15" s="59">
        <v>90000</v>
      </c>
      <c r="D15" s="59">
        <f t="shared" si="0"/>
        <v>22500</v>
      </c>
    </row>
    <row r="16" spans="2:6" ht="28.8" x14ac:dyDescent="0.55000000000000004">
      <c r="B16" s="58" t="s">
        <v>45</v>
      </c>
      <c r="C16" s="59">
        <v>30000</v>
      </c>
      <c r="D16" s="59">
        <f t="shared" si="0"/>
        <v>7500</v>
      </c>
    </row>
    <row r="17" spans="2:4" x14ac:dyDescent="0.55000000000000004">
      <c r="B17" s="58" t="s">
        <v>48</v>
      </c>
      <c r="C17" s="59">
        <v>120000</v>
      </c>
      <c r="D17" s="59">
        <f t="shared" si="0"/>
        <v>30000</v>
      </c>
    </row>
    <row r="18" spans="2:4" ht="28.8" x14ac:dyDescent="0.55000000000000004">
      <c r="B18" s="58" t="s">
        <v>49</v>
      </c>
      <c r="C18" s="59">
        <v>40000</v>
      </c>
      <c r="D18" s="59">
        <f t="shared" si="0"/>
        <v>10000</v>
      </c>
    </row>
    <row r="19" spans="2:4" x14ac:dyDescent="0.55000000000000004">
      <c r="B19" s="58" t="s">
        <v>50</v>
      </c>
      <c r="C19" s="59">
        <v>80000</v>
      </c>
      <c r="D19" s="59">
        <f t="shared" si="0"/>
        <v>20000</v>
      </c>
    </row>
    <row r="20" spans="2:4" ht="28.8" x14ac:dyDescent="0.55000000000000004">
      <c r="B20" s="60" t="s">
        <v>67</v>
      </c>
      <c r="C20" s="61">
        <v>15000</v>
      </c>
      <c r="D20" s="61">
        <f t="shared" si="0"/>
        <v>3750</v>
      </c>
    </row>
    <row r="23" spans="2:4" x14ac:dyDescent="0.55000000000000004">
      <c r="B23" s="16"/>
    </row>
    <row r="24" spans="2:4" x14ac:dyDescent="0.55000000000000004">
      <c r="B24" s="16"/>
    </row>
    <row r="25" spans="2:4" x14ac:dyDescent="0.55000000000000004">
      <c r="B25" s="16"/>
    </row>
    <row r="26" spans="2:4" x14ac:dyDescent="0.55000000000000004">
      <c r="B26" s="16"/>
    </row>
    <row r="27" spans="2:4" x14ac:dyDescent="0.55000000000000004">
      <c r="B27" s="16"/>
    </row>
    <row r="28" spans="2:4" x14ac:dyDescent="0.55000000000000004">
      <c r="B28" s="16"/>
    </row>
    <row r="32" spans="2:4" ht="17.399999999999999" x14ac:dyDescent="0.55000000000000004">
      <c r="B32" s="17"/>
    </row>
    <row r="34" spans="2:8" x14ac:dyDescent="0.55000000000000004">
      <c r="B34" s="13"/>
      <c r="C34" s="13"/>
      <c r="D34" s="13"/>
      <c r="E34" s="13"/>
      <c r="F34" s="13"/>
      <c r="G34" s="13"/>
      <c r="H34" s="13"/>
    </row>
    <row r="35" spans="2:8" x14ac:dyDescent="0.55000000000000004">
      <c r="D35" s="14"/>
      <c r="E35" s="14"/>
      <c r="F35" s="15"/>
      <c r="G35" s="15"/>
      <c r="H35" s="15"/>
    </row>
    <row r="36" spans="2:8" x14ac:dyDescent="0.55000000000000004">
      <c r="D36" s="14"/>
      <c r="E36" s="14"/>
      <c r="F36" s="15"/>
      <c r="G36" s="15"/>
      <c r="H36" s="15"/>
    </row>
    <row r="37" spans="2:8" x14ac:dyDescent="0.55000000000000004">
      <c r="D37" s="14"/>
      <c r="E37" s="14"/>
      <c r="F37" s="14"/>
      <c r="G37" s="14"/>
      <c r="H37" s="15"/>
    </row>
    <row r="38" spans="2:8" x14ac:dyDescent="0.55000000000000004">
      <c r="D38" s="14"/>
      <c r="E38" s="14"/>
      <c r="F38" s="14"/>
      <c r="G38" s="14"/>
      <c r="H38" s="14"/>
    </row>
    <row r="39" spans="2:8" x14ac:dyDescent="0.55000000000000004">
      <c r="D39" s="14"/>
      <c r="E39" s="14"/>
      <c r="F39" s="14"/>
      <c r="G39" s="14"/>
      <c r="H39" s="15"/>
    </row>
    <row r="40" spans="2:8" x14ac:dyDescent="0.55000000000000004">
      <c r="D40" s="14"/>
      <c r="E40" s="14"/>
      <c r="F40" s="15"/>
      <c r="G40" s="15"/>
      <c r="H4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HRRampUp</vt:lpstr>
      <vt:lpstr>CostExpense</vt:lpstr>
      <vt:lpstr>SalesForecast</vt:lpstr>
      <vt:lpstr>Cashflow5yr</vt:lpstr>
      <vt:lpstr>UserBenchmarking_Raw</vt:lpstr>
      <vt:lpstr>UserBenchmarkingQuater_Raw</vt:lpstr>
      <vt:lpstr>DigitalMarketingCost_Raw</vt:lpstr>
      <vt:lpstr>DevCost_Raw</vt:lpstr>
      <vt:lpstr>PayrollCost_Raw</vt:lpstr>
      <vt:lpstr>PayrollBreakdown_Raw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Business Plan Template</dc:title>
  <dc:creator>Vertex42.com</dc:creator>
  <dc:description>(c) 2017 Vertex42 LLC. All Rights Reserved.</dc:description>
  <cp:lastModifiedBy>Jiajin LI</cp:lastModifiedBy>
  <cp:lastPrinted>2016-06-13T21:49:32Z</cp:lastPrinted>
  <dcterms:created xsi:type="dcterms:W3CDTF">2015-07-09T18:07:32Z</dcterms:created>
  <dcterms:modified xsi:type="dcterms:W3CDTF">2026-05-29T14:34:34Z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2016 Vertex42 LLC</vt:lpwstr>
  </property>
  <property fmtid="{D5CDD505-2E9C-101B-9397-08002B2CF9AE}" pid="3" name="Version">
    <vt:lpwstr>1.0.3</vt:lpwstr>
  </property>
</Properties>
</file>